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SUS" sheetId="2" state="visible" r:id="rId4"/>
    <sheet name="Ringkasan SUS" sheetId="3" state="visible" r:id="rId5"/>
    <sheet name="UA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Butir 1: Saya berpikir akan menggunakan sistem ini lagi.</t>
        </r>
      </text>
    </comment>
    <comment ref="E4" authorId="0">
      <text>
        <r>
          <rPr>
            <sz val="10"/>
            <rFont val="Arial"/>
            <family val="2"/>
          </rPr>
          <t xml:space="preserve">Butir 2: Saya merasa sistem ini rumit untuk digunakan.</t>
        </r>
      </text>
    </comment>
    <comment ref="F4" authorId="0">
      <text>
        <r>
          <rPr>
            <sz val="10"/>
            <rFont val="Arial"/>
            <family val="2"/>
          </rPr>
          <t xml:space="preserve">Butir 3: Saya merasa sistem ini mudah digunakan.</t>
        </r>
      </text>
    </comment>
    <comment ref="G4" authorId="0">
      <text>
        <r>
          <rPr>
            <sz val="10"/>
            <rFont val="Arial"/>
            <family val="2"/>
          </rPr>
          <t xml:space="preserve">Butir 4: Saya membutuhkan bantuan dari orang lain atau teknisi dalam menggunakan sistem ini.</t>
        </r>
      </text>
    </comment>
    <comment ref="H4" authorId="0">
      <text>
        <r>
          <rPr>
            <sz val="10"/>
            <rFont val="Arial"/>
            <family val="2"/>
          </rPr>
          <t xml:space="preserve">Butir 5: Saya merasa fitur-fitur sistem ini berjalan dengan semestinya.</t>
        </r>
      </text>
    </comment>
    <comment ref="I4" authorId="0">
      <text>
        <r>
          <rPr>
            <sz val="10"/>
            <rFont val="Arial"/>
            <family val="2"/>
          </rPr>
          <t xml:space="preserve">Butir 6: Saya merasa ada banyak hal yang tidak konsisten (tidak serasi) pada sistem ini.</t>
        </r>
      </text>
    </comment>
    <comment ref="J4" authorId="0">
      <text>
        <r>
          <rPr>
            <sz val="10"/>
            <rFont val="Arial"/>
            <family val="2"/>
          </rPr>
          <t xml:space="preserve">Butir 7: Saya merasa orang lain akan memahami cara menggunakan sistem ini dengan cepat.</t>
        </r>
      </text>
    </comment>
    <comment ref="K4" authorId="0">
      <text>
        <r>
          <rPr>
            <sz val="10"/>
            <rFont val="Arial"/>
            <family val="2"/>
          </rPr>
          <t xml:space="preserve">Butir 8: Saya merasa sistem ini membingungkan.</t>
        </r>
      </text>
    </comment>
    <comment ref="L4" authorId="0">
      <text>
        <r>
          <rPr>
            <sz val="10"/>
            <rFont val="Arial"/>
            <family val="2"/>
          </rPr>
          <t xml:space="preserve">Butir 9: Saya merasa tidak ada hambatan dalam menggunakan sistem ini.</t>
        </r>
      </text>
    </comment>
    <comment ref="M4" authorId="0">
      <text>
        <r>
          <rPr>
            <sz val="10"/>
            <rFont val="Arial"/>
            <family val="2"/>
          </rPr>
          <t xml:space="preserve">Butir 10: Saya perlu membiasakan diri terlebih dahulu sebelum menggunakan sistem ini.</t>
        </r>
      </text>
    </comment>
  </commentList>
</comments>
</file>

<file path=xl/sharedStrings.xml><?xml version="1.0" encoding="utf-8"?>
<sst xmlns="http://schemas.openxmlformats.org/spreadsheetml/2006/main" count="225" uniqueCount="152">
  <si>
    <t xml:space="preserve">Kalkulator SUS &amp; Rekap UAT</t>
  </si>
  <si>
    <t xml:space="preserve">Sistem Promosi Digital Terintegrasi Berbasis SEO dan Machine Learning — Politeknik Negeri Medan × Yayasan Sinergi Inspirasi Indonesia</t>
  </si>
  <si>
    <t xml:space="preserve">Cara pakai</t>
  </si>
  <si>
    <t xml:space="preserve">Sel berwarna KUNING adalah tempat mengisi data. Sel lain berisi rumus dan akan terhitung otomatis — jangan diubah.</t>
  </si>
  <si>
    <t xml:space="preserve">Sheet SUS: satu baris per responden. Pilih Kelompok (Admin Mitra / Calon Peserta) lalu isi jawaban butir 1–10 dengan angka 1–5 sesuai kuesioner.</t>
  </si>
  <si>
    <t xml:space="preserve">Baris 5 (abu-abu, kelompok "Contoh") hanya contoh pengisian dan tidak ikut dihitung.</t>
  </si>
  <si>
    <t xml:space="preserve">Skor SUS per responden muncul otomatis bila 10 butir terisi lengkap. Hasil per kelompok ada di sheet Ringkasan SUS.</t>
  </si>
  <si>
    <t xml:space="preserve">Sheet UAT: pilih Sesuai / Tidak Sesuai pada kolom Hasil untuk setiap skenario, dan tulis catatan bila perlu. Kesimpulan muncul otomatis di bagian atas.</t>
  </si>
  <si>
    <t xml:space="preserve">Rumus SUS (Brooke, 1996)</t>
  </si>
  <si>
    <t xml:space="preserve">Butir ganjil: jawaban − 1. Butir genap: 5 − jawaban. Jumlah kontribusi (0–40) × 2,5 = skor 0–100.</t>
  </si>
  <si>
    <t xml:space="preserve">Interpretasi penerimaan (Bangor dkk., 2008): ≥ 70 Acceptable, 50–69,9 Marginal, &lt; 50 Not acceptable. Rata-rata umum SUS = 68.</t>
  </si>
  <si>
    <t xml:space="preserve">Kategori adjektif (disederhanakan dari Bangor dkk., 2009): &gt; 85 Excellent–Best imaginable, 70–85 Good–Excellent, 50–69,9 OK–Good, &lt; 50 Poor–Worst imaginable.</t>
  </si>
  <si>
    <t xml:space="preserve">Butir kuesioner: adaptasi Bahasa Indonesia mengacu pada Sharfina, Z., &amp; Santoso, H. B. (2016). An Indonesian adaptation of the System Usability Scale (SUS). International Conference on Advanced Computer Science and Information Systems (ICACSIS), 145–148.</t>
  </si>
  <si>
    <t xml:space="preserve">Kriteria penerimaan UAT</t>
  </si>
  <si>
    <t xml:space="preserve">Diterima: ≥ 90% skenario Sesuai dan seluruh skenario kritis Sesuai. Diterima dengan perbaikan: ≥ 90% Sesuai, ada skenario non-kritis Tidak Sesuai. Belum diterima: &lt; 90% Sesuai atau ada skenario kritis Tidak Sesuai.</t>
  </si>
  <si>
    <t xml:space="preserve">Data Jawaban Kuesioner SUS</t>
  </si>
  <si>
    <t xml:space="preserve">Isi sel kuning. Jawaban 1 = Sangat Tidak Setuju … 5 = Sangat Setuju.</t>
  </si>
  <si>
    <t xml:space="preserve">No</t>
  </si>
  <si>
    <t xml:space="preserve">Kelompok</t>
  </si>
  <si>
    <t xml:space="preserve">Nama / inisial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</si>
  <si>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</si>
  <si>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</si>
  <si>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</si>
  <si>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</si>
  <si>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</si>
  <si>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</si>
  <si>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</si>
  <si>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</si>
  <si>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</si>
  <si>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</si>
  <si>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Skor SUS</t>
  </si>
  <si>
    <t xml:space="preserve">bantu</t>
  </si>
  <si>
    <t xml:space="preserve">Contoh</t>
  </si>
  <si>
    <t xml:space="preserve">(contoh pengisian)</t>
  </si>
  <si>
    <t xml:space="preserve">Ringkasan Skor SUS per Kelompok</t>
  </si>
  <si>
    <t xml:space="preserve">Ukuran</t>
  </si>
  <si>
    <t xml:space="preserve">Admin Mitra</t>
  </si>
  <si>
    <t xml:space="preserve">Calon Peserta</t>
  </si>
  <si>
    <t xml:space="preserve">Jumlah responden (lengkap)</t>
  </si>
  <si>
    <t xml:space="preserve">Rata-rata skor SUS</t>
  </si>
  <si>
    <t xml:space="preserve">Simpangan baku</t>
  </si>
  <si>
    <t xml:space="preserve">Skor terendah</t>
  </si>
  <si>
    <t xml:space="preserve">Skor tertinggi</t>
  </si>
  <si>
    <t xml:space="preserve">Penerimaan (Bangor dkk., 2008)</t>
  </si>
  <si>
    <t xml:space="preserve">Kategori adjektif</t>
  </si>
  <si>
    <t xml:space="preserve">Dibanding rata-rata umum (68)</t>
  </si>
  <si>
    <t xml:space="preserve">Rata-rata jawaban per butir (1–5)</t>
  </si>
  <si>
    <t xml:space="preserve">Butir</t>
  </si>
  <si>
    <t xml:space="preserve">1. Saya berpikir akan menggunakan sistem ini lagi.</t>
  </si>
  <si>
    <t xml:space="preserve">2. Saya merasa sistem ini rumit untuk digunakan.</t>
  </si>
  <si>
    <t xml:space="preserve">3. Saya merasa sistem ini mudah digunakan.</t>
  </si>
  <si>
    <t xml:space="preserve">4. Saya membutuhkan bantuan dari orang lain atau teknisi dalam menggunakan sistem ini.</t>
  </si>
  <si>
    <t xml:space="preserve">5. Saya merasa fitur-fitur sistem ini berjalan dengan semestinya.</t>
  </si>
  <si>
    <t xml:space="preserve">6. Saya merasa ada banyak hal yang tidak konsisten (tidak serasi) pada sistem ini.</t>
  </si>
  <si>
    <t xml:space="preserve">7. Saya merasa orang lain akan memahami cara menggunakan sistem ini dengan cepat.</t>
  </si>
  <si>
    <t xml:space="preserve">8. Saya merasa sistem ini membingungkan.</t>
  </si>
  <si>
    <t xml:space="preserve">9. Saya merasa tidak ada hambatan dalam menggunakan sistem ini.</t>
  </si>
  <si>
    <t xml:space="preserve">10. Saya perlu membiasakan diri terlebih dahulu sebelum menggunakan sistem ini.</t>
  </si>
  <si>
    <t xml:space="preserve">Catatan: butir genap bernada negatif, sehingga nilai rendah pada butir genap justru baik.</t>
  </si>
  <si>
    <t xml:space="preserve">Rekap User Acceptance Test</t>
  </si>
  <si>
    <t xml:space="preserve">Jumlah</t>
  </si>
  <si>
    <t xml:space="preserve">Sesuai</t>
  </si>
  <si>
    <t xml:space="preserve">Tidak sesuai</t>
  </si>
  <si>
    <t xml:space="preserve">Belum diuji</t>
  </si>
  <si>
    <t xml:space="preserve">% Sesuai</t>
  </si>
  <si>
    <t xml:space="preserve">A. Akses Dashboard</t>
  </si>
  <si>
    <t xml:space="preserve">B. Ringkasan (KPI)</t>
  </si>
  <si>
    <t xml:space="preserve">C. Manajemen Lead</t>
  </si>
  <si>
    <t xml:space="preserve">D. Program Pelatihan</t>
  </si>
  <si>
    <t xml:space="preserve">E. SEO dan Model Machine Learning</t>
  </si>
  <si>
    <t xml:space="preserve">P. Website Mitra (Sisi Pengunjung)</t>
  </si>
  <si>
    <t xml:space="preserve">I. Integrasi Data</t>
  </si>
  <si>
    <t xml:space="preserve">Total</t>
  </si>
  <si>
    <t xml:space="preserve">Skenario kritis Tidak Sesuai</t>
  </si>
  <si>
    <t xml:space="preserve">KESIMPULAN</t>
  </si>
  <si>
    <t xml:space="preserve">Kode</t>
  </si>
  <si>
    <t xml:space="preserve">Skenario</t>
  </si>
  <si>
    <t xml:space="preserve">Kritis</t>
  </si>
  <si>
    <t xml:space="preserve">Hasil</t>
  </si>
  <si>
    <t xml:space="preserve">Catatan</t>
  </si>
  <si>
    <t xml:space="preserve">A01</t>
  </si>
  <si>
    <t xml:space="preserve">Login dengan akun benar</t>
  </si>
  <si>
    <t xml:space="preserve">Ya</t>
  </si>
  <si>
    <t xml:space="preserve">A02</t>
  </si>
  <si>
    <t xml:space="preserve">Login dengan password salah</t>
  </si>
  <si>
    <t xml:space="preserve">–</t>
  </si>
  <si>
    <t xml:space="preserve">A03</t>
  </si>
  <si>
    <t xml:space="preserve">Keluar</t>
  </si>
  <si>
    <t xml:space="preserve">B01</t>
  </si>
  <si>
    <t xml:space="preserve">Menampilkan KPI</t>
  </si>
  <si>
    <t xml:space="preserve">B02</t>
  </si>
  <si>
    <t xml:space="preserve">Mengganti periode</t>
  </si>
  <si>
    <t xml:space="preserve">B03</t>
  </si>
  <si>
    <t xml:space="preserve">Grafik &amp; sumber traffic</t>
  </si>
  <si>
    <t xml:space="preserve">C01</t>
  </si>
  <si>
    <t xml:space="preserve">Daftar lead terurut skor</t>
  </si>
  <si>
    <t xml:space="preserve">C02</t>
  </si>
  <si>
    <t xml:space="preserve">Pencarian</t>
  </si>
  <si>
    <t xml:space="preserve">C03</t>
  </si>
  <si>
    <t xml:space="preserve">Penyaringan</t>
  </si>
  <si>
    <t xml:space="preserve">C04</t>
  </si>
  <si>
    <t xml:space="preserve">Detail lead</t>
  </si>
  <si>
    <t xml:space="preserve">C05</t>
  </si>
  <si>
    <t xml:space="preserve">Mengubah status</t>
  </si>
  <si>
    <t xml:space="preserve">C06</t>
  </si>
  <si>
    <t xml:space="preserve">Catatan follow-up</t>
  </si>
  <si>
    <t xml:space="preserve">C07</t>
  </si>
  <si>
    <t xml:space="preserve">Tombol WhatsApp</t>
  </si>
  <si>
    <t xml:space="preserve">C08</t>
  </si>
  <si>
    <t xml:space="preserve">Mencatat lead dari WhatsApp</t>
  </si>
  <si>
    <t xml:space="preserve">C09</t>
  </si>
  <si>
    <t xml:space="preserve">Kode referensi salah</t>
  </si>
  <si>
    <t xml:space="preserve">C10</t>
  </si>
  <si>
    <t xml:space="preserve">Unduh CSV</t>
  </si>
  <si>
    <t xml:space="preserve">D01</t>
  </si>
  <si>
    <t xml:space="preserve">Menambah program</t>
  </si>
  <si>
    <t xml:space="preserve">D02</t>
  </si>
  <si>
    <t xml:space="preserve">Mengubah program</t>
  </si>
  <si>
    <t xml:space="preserve">D03</t>
  </si>
  <si>
    <t xml:space="preserve">Menghapus program</t>
  </si>
  <si>
    <t xml:space="preserve">E01</t>
  </si>
  <si>
    <t xml:space="preserve">Data SEO</t>
  </si>
  <si>
    <t xml:space="preserve">E02</t>
  </si>
  <si>
    <t xml:space="preserve">Informasi model</t>
  </si>
  <si>
    <t xml:space="preserve">E03</t>
  </si>
  <si>
    <t xml:space="preserve">Latih ulang model</t>
  </si>
  <si>
    <t xml:space="preserve">E04</t>
  </si>
  <si>
    <t xml:space="preserve">Mengganti model aktif</t>
  </si>
  <si>
    <t xml:space="preserve">P01</t>
  </si>
  <si>
    <t xml:space="preserve">Banner persetujuan cookie</t>
  </si>
  <si>
    <t xml:space="preserve">P02</t>
  </si>
  <si>
    <t xml:space="preserve">Menolak cookie</t>
  </si>
  <si>
    <t xml:space="preserve">P03</t>
  </si>
  <si>
    <t xml:space="preserve">Menyetujui cookie</t>
  </si>
  <si>
    <t xml:space="preserve">P04</t>
  </si>
  <si>
    <t xml:space="preserve">Kode referensi WhatsApp</t>
  </si>
  <si>
    <t xml:space="preserve">P05</t>
  </si>
  <si>
    <t xml:space="preserve">Form pendaftaran tetap berjalan</t>
  </si>
  <si>
    <t xml:space="preserve">P06</t>
  </si>
  <si>
    <t xml:space="preserve">Lead tercatat di dashboard</t>
  </si>
  <si>
    <t xml:space="preserve">P07</t>
  </si>
  <si>
    <t xml:space="preserve">Widget rekomendasi</t>
  </si>
  <si>
    <t xml:space="preserve">P08</t>
  </si>
  <si>
    <t xml:space="preserve">Form pencarian tidak menjadi lead</t>
  </si>
  <si>
    <t xml:space="preserve">P09</t>
  </si>
  <si>
    <t xml:space="preserve">Tampilan ponsel &amp; kecepatan</t>
  </si>
  <si>
    <t xml:space="preserve">I01</t>
  </si>
  <si>
    <t xml:space="preserve">Sumber kunjungan</t>
  </si>
  <si>
    <t xml:space="preserve">I02</t>
  </si>
  <si>
    <t xml:space="preserve">Pencegahan lead ganda</t>
  </si>
  <si>
    <t xml:space="preserve">I03</t>
  </si>
  <si>
    <t xml:space="preserve">Pembaruan data SEO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</si>
</sst>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General"/>
    <numFmt numFmtId="167" formatCode="0.0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2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B5C3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59D"/>
        <bgColor rgb="FFFFFFCC"/>
      </patternFill>
    </fill>
    <fill>
      <patternFill patternType="solid">
        <fgColor rgb="FFDCEFE4"/>
        <bgColor rgb="FFEEEEEE"/>
      </patternFill>
    </fill>
    <fill>
      <patternFill patternType="solid">
        <fgColor rgb="FFEEEEEE"/>
        <bgColor rgb="FFDCEF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A949E"/>
      </left>
      <right style="thin">
        <color rgb="FF8A949E"/>
      </right>
      <top style="thin">
        <color rgb="FF8A949E"/>
      </top>
      <bottom style="thin">
        <color rgb="FF8A94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B5C39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FE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59D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8A94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23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5" t="s">
        <v>3</v>
      </c>
    </row>
    <row r="6" customFormat="false" ht="23.8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23.8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23.85" hidden="false" customHeight="false" outlineLevel="0" collapsed="false">
      <c r="B14" s="3" t="s">
        <v>11</v>
      </c>
    </row>
    <row r="15" customFormat="false" ht="23.8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13</v>
      </c>
    </row>
    <row r="18" customFormat="false" ht="23.85" hidden="false" customHeight="false" outlineLevel="0" collapsed="false">
      <c r="B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13" min="4" style="0" width="6"/>
    <col collapsed="false" customWidth="true" hidden="false" outlineLevel="0" max="14" min="14" style="0" width="10"/>
    <col collapsed="false" customWidth="true" hidden="true" outlineLevel="0" max="15" min="15" style="0" width="6"/>
  </cols>
  <sheetData>
    <row r="1" customFormat="false" ht="16.15" hidden="false" customHeight="false" outlineLevel="0" collapsed="false">
      <c r="A1" s="6" t="s">
        <v>15</v>
      </c>
    </row>
    <row r="2" customFormat="false" ht="15" hidden="false" customHeight="false" outlineLevel="0" collapsed="false">
      <c r="A2" s="7" t="s">
        <v>16</v>
      </c>
    </row>
    <row r="4" customFormat="false" ht="15" hidden="false" customHeight="false" outlineLevel="0" collapsed="false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8" t="s">
        <v>29</v>
      </c>
      <c r="N4" s="8" t="s">
        <v>30</v>
      </c>
      <c r="O4" s="8" t="s">
        <v>31</v>
      </c>
    </row>
    <row r="5" customFormat="false" ht="23.85" hidden="false" customHeight="false" outlineLevel="0" collapsed="false">
      <c r="A5" s="9" t="s">
        <v>32</v>
      </c>
      <c r="B5" s="9" t="s">
        <v>32</v>
      </c>
      <c r="C5" s="9" t="s">
        <v>33</v>
      </c>
      <c r="D5" s="9" t="n">
        <v>4</v>
      </c>
      <c r="E5" s="9" t="n">
        <v>2</v>
      </c>
      <c r="F5" s="9" t="n">
        <v>5</v>
      </c>
      <c r="G5" s="9" t="n">
        <v>1</v>
      </c>
      <c r="H5" s="9" t="n">
        <v>4</v>
      </c>
      <c r="I5" s="9" t="n">
        <v>2</v>
      </c>
      <c r="J5" s="9" t="n">
        <v>4</v>
      </c>
      <c r="K5" s="9" t="n">
        <v>2</v>
      </c>
      <c r="L5" s="9" t="n">
        <v>5</v>
      </c>
      <c r="M5" s="9" t="n">
        <v>3</v>
      </c>
      <c r="N5" s="9" t="n">
        <f aca="false">IF(COUNT(D5:M5)=10,(SUM(D5,F5,H5,J5,L5)-5+25-SUM(E5,G5,I5,K5,M5))*2.5,"")</f>
        <v>80</v>
      </c>
      <c r="O5" s="9"/>
    </row>
    <row r="6" customFormat="false" ht="15" hidden="false" customHeight="false" outlineLevel="0" collapsed="false">
      <c r="A6" s="10" t="n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 t="str">
        <f aca="false">IF(COUNT(D6:M6)=10,(SUM(D6,F6,H6,J6,L6)-5+25-SUM(E6,G6,I6,K6,M6))*2.5,"")</f>
        <v/>
      </c>
      <c r="O6" s="13" t="n">
        <f aca="false">IF(ISNUMBER(N6),N6,0)</f>
        <v>0</v>
      </c>
    </row>
    <row r="7" customFormat="false" ht="15" hidden="false" customHeight="false" outlineLevel="0" collapsed="false">
      <c r="A7" s="10" t="n">
        <v>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 t="str">
        <f aca="false">IF(COUNT(D7:M7)=10,(SUM(D7,F7,H7,J7,L7)-5+25-SUM(E7,G7,I7,K7,M7))*2.5,"")</f>
        <v/>
      </c>
      <c r="O7" s="13" t="n">
        <f aca="false">IF(ISNUMBER(N7),N7,0)</f>
        <v>0</v>
      </c>
    </row>
    <row r="8" customFormat="false" ht="15" hidden="false" customHeight="false" outlineLevel="0" collapsed="false">
      <c r="A8" s="10" t="n">
        <v>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 t="str">
        <f aca="false">IF(COUNT(D8:M8)=10,(SUM(D8,F8,H8,J8,L8)-5+25-SUM(E8,G8,I8,K8,M8))*2.5,"")</f>
        <v/>
      </c>
      <c r="O8" s="13" t="n">
        <f aca="false">IF(ISNUMBER(N8),N8,0)</f>
        <v>0</v>
      </c>
    </row>
    <row r="9" customFormat="false" ht="15" hidden="false" customHeight="false" outlineLevel="0" collapsed="false">
      <c r="A9" s="10" t="n">
        <v>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 t="str">
        <f aca="false">IF(COUNT(D9:M9)=10,(SUM(D9,F9,H9,J9,L9)-5+25-SUM(E9,G9,I9,K9,M9))*2.5,"")</f>
        <v/>
      </c>
      <c r="O9" s="13" t="n">
        <f aca="false">IF(ISNUMBER(N9),N9,0)</f>
        <v>0</v>
      </c>
    </row>
    <row r="10" customFormat="false" ht="15" hidden="false" customHeight="false" outlineLevel="0" collapsed="false">
      <c r="A10" s="10" t="n">
        <v>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 t="str">
        <f aca="false">IF(COUNT(D10:M10)=10,(SUM(D10,F10,H10,J10,L10)-5+25-SUM(E10,G10,I10,K10,M10))*2.5,"")</f>
        <v/>
      </c>
      <c r="O10" s="13" t="n">
        <f aca="false">IF(ISNUMBER(N10),N10,0)</f>
        <v>0</v>
      </c>
    </row>
    <row r="11" customFormat="false" ht="15" hidden="false" customHeight="false" outlineLevel="0" collapsed="false">
      <c r="A11" s="10" t="n">
        <v>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 t="str">
        <f aca="false">IF(COUNT(D11:M11)=10,(SUM(D11,F11,H11,J11,L11)-5+25-SUM(E11,G11,I11,K11,M11))*2.5,"")</f>
        <v/>
      </c>
      <c r="O11" s="13" t="n">
        <f aca="false">IF(ISNUMBER(N11),N11,0)</f>
        <v>0</v>
      </c>
    </row>
    <row r="12" customFormat="false" ht="15" hidden="false" customHeight="false" outlineLevel="0" collapsed="false">
      <c r="A12" s="10" t="n">
        <v>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 t="str">
        <f aca="false">IF(COUNT(D12:M12)=10,(SUM(D12,F12,H12,J12,L12)-5+25-SUM(E12,G12,I12,K12,M12))*2.5,"")</f>
        <v/>
      </c>
      <c r="O12" s="13" t="n">
        <f aca="false">IF(ISNUMBER(N12),N12,0)</f>
        <v>0</v>
      </c>
    </row>
    <row r="13" customFormat="false" ht="15" hidden="false" customHeight="false" outlineLevel="0" collapsed="false">
      <c r="A13" s="10" t="n">
        <v>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 t="str">
        <f aca="false">IF(COUNT(D13:M13)=10,(SUM(D13,F13,H13,J13,L13)-5+25-SUM(E13,G13,I13,K13,M13))*2.5,"")</f>
        <v/>
      </c>
      <c r="O13" s="13" t="n">
        <f aca="false">IF(ISNUMBER(N13),N13,0)</f>
        <v>0</v>
      </c>
    </row>
    <row r="14" customFormat="false" ht="15" hidden="false" customHeight="false" outlineLevel="0" collapsed="false">
      <c r="A14" s="10" t="n">
        <v>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 t="str">
        <f aca="false">IF(COUNT(D14:M14)=10,(SUM(D14,F14,H14,J14,L14)-5+25-SUM(E14,G14,I14,K14,M14))*2.5,"")</f>
        <v/>
      </c>
      <c r="O14" s="13" t="n">
        <f aca="false">IF(ISNUMBER(N14),N14,0)</f>
        <v>0</v>
      </c>
    </row>
    <row r="15" customFormat="false" ht="15" hidden="false" customHeight="false" outlineLevel="0" collapsed="false">
      <c r="A15" s="10" t="n">
        <v>10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2" t="str">
        <f aca="false">IF(COUNT(D15:M15)=10,(SUM(D15,F15,H15,J15,L15)-5+25-SUM(E15,G15,I15,K15,M15))*2.5,"")</f>
        <v/>
      </c>
      <c r="O15" s="13" t="n">
        <f aca="false">IF(ISNUMBER(N15),N15,0)</f>
        <v>0</v>
      </c>
    </row>
    <row r="16" customFormat="false" ht="15" hidden="false" customHeight="false" outlineLevel="0" collapsed="false">
      <c r="A16" s="10" t="n">
        <v>11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2" t="str">
        <f aca="false">IF(COUNT(D16:M16)=10,(SUM(D16,F16,H16,J16,L16)-5+25-SUM(E16,G16,I16,K16,M16))*2.5,"")</f>
        <v/>
      </c>
      <c r="O16" s="13" t="n">
        <f aca="false">IF(ISNUMBER(N16),N16,0)</f>
        <v>0</v>
      </c>
    </row>
    <row r="17" customFormat="false" ht="15" hidden="false" customHeight="false" outlineLevel="0" collapsed="false">
      <c r="A17" s="10" t="n">
        <v>12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 t="str">
        <f aca="false">IF(COUNT(D17:M17)=10,(SUM(D17,F17,H17,J17,L17)-5+25-SUM(E17,G17,I17,K17,M17))*2.5,"")</f>
        <v/>
      </c>
      <c r="O17" s="13" t="n">
        <f aca="false">IF(ISNUMBER(N17),N17,0)</f>
        <v>0</v>
      </c>
    </row>
    <row r="18" customFormat="false" ht="15" hidden="false" customHeight="false" outlineLevel="0" collapsed="false">
      <c r="A18" s="10" t="n">
        <v>13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2" t="str">
        <f aca="false">IF(COUNT(D18:M18)=10,(SUM(D18,F18,H18,J18,L18)-5+25-SUM(E18,G18,I18,K18,M18))*2.5,"")</f>
        <v/>
      </c>
      <c r="O18" s="13" t="n">
        <f aca="false">IF(ISNUMBER(N18),N18,0)</f>
        <v>0</v>
      </c>
    </row>
    <row r="19" customFormat="false" ht="15" hidden="false" customHeight="false" outlineLevel="0" collapsed="false">
      <c r="A19" s="10" t="n">
        <v>14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2" t="str">
        <f aca="false">IF(COUNT(D19:M19)=10,(SUM(D19,F19,H19,J19,L19)-5+25-SUM(E19,G19,I19,K19,M19))*2.5,"")</f>
        <v/>
      </c>
      <c r="O19" s="13" t="n">
        <f aca="false">IF(ISNUMBER(N19),N19,0)</f>
        <v>0</v>
      </c>
    </row>
    <row r="20" customFormat="false" ht="15" hidden="false" customHeight="false" outlineLevel="0" collapsed="false">
      <c r="A20" s="10" t="n">
        <v>15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 t="str">
        <f aca="false">IF(COUNT(D20:M20)=10,(SUM(D20,F20,H20,J20,L20)-5+25-SUM(E20,G20,I20,K20,M20))*2.5,"")</f>
        <v/>
      </c>
      <c r="O20" s="13" t="n">
        <f aca="false">IF(ISNUMBER(N20),N20,0)</f>
        <v>0</v>
      </c>
    </row>
    <row r="21" customFormat="false" ht="15" hidden="false" customHeight="false" outlineLevel="0" collapsed="false">
      <c r="A21" s="10" t="n">
        <v>16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 t="str">
        <f aca="false">IF(COUNT(D21:M21)=10,(SUM(D21,F21,H21,J21,L21)-5+25-SUM(E21,G21,I21,K21,M21))*2.5,"")</f>
        <v/>
      </c>
      <c r="O21" s="13" t="n">
        <f aca="false">IF(ISNUMBER(N21),N21,0)</f>
        <v>0</v>
      </c>
    </row>
    <row r="22" customFormat="false" ht="15" hidden="false" customHeight="false" outlineLevel="0" collapsed="false">
      <c r="A22" s="10" t="n">
        <v>17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 t="str">
        <f aca="false">IF(COUNT(D22:M22)=10,(SUM(D22,F22,H22,J22,L22)-5+25-SUM(E22,G22,I22,K22,M22))*2.5,"")</f>
        <v/>
      </c>
      <c r="O22" s="13" t="n">
        <f aca="false">IF(ISNUMBER(N22),N22,0)</f>
        <v>0</v>
      </c>
    </row>
    <row r="23" customFormat="false" ht="15" hidden="false" customHeight="false" outlineLevel="0" collapsed="false">
      <c r="A23" s="10" t="n">
        <v>18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2" t="str">
        <f aca="false">IF(COUNT(D23:M23)=10,(SUM(D23,F23,H23,J23,L23)-5+25-SUM(E23,G23,I23,K23,M23))*2.5,"")</f>
        <v/>
      </c>
      <c r="O23" s="13" t="n">
        <f aca="false">IF(ISNUMBER(N23),N23,0)</f>
        <v>0</v>
      </c>
    </row>
    <row r="24" customFormat="false" ht="15" hidden="false" customHeight="false" outlineLevel="0" collapsed="false">
      <c r="A24" s="10" t="n">
        <v>19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 t="str">
        <f aca="false">IF(COUNT(D24:M24)=10,(SUM(D24,F24,H24,J24,L24)-5+25-SUM(E24,G24,I24,K24,M24))*2.5,"")</f>
        <v/>
      </c>
      <c r="O24" s="13" t="n">
        <f aca="false">IF(ISNUMBER(N24),N24,0)</f>
        <v>0</v>
      </c>
    </row>
    <row r="25" customFormat="false" ht="15" hidden="false" customHeight="false" outlineLevel="0" collapsed="false">
      <c r="A25" s="10" t="n">
        <v>20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2" t="str">
        <f aca="false">IF(COUNT(D25:M25)=10,(SUM(D25,F25,H25,J25,L25)-5+25-SUM(E25,G25,I25,K25,M25))*2.5,"")</f>
        <v/>
      </c>
      <c r="O25" s="13" t="n">
        <f aca="false">IF(ISNUMBER(N25),N25,0)</f>
        <v>0</v>
      </c>
    </row>
    <row r="26" customFormat="false" ht="15" hidden="false" customHeight="false" outlineLevel="0" collapsed="false">
      <c r="A26" s="10" t="n">
        <v>21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2" t="str">
        <f aca="false">IF(COUNT(D26:M26)=10,(SUM(D26,F26,H26,J26,L26)-5+25-SUM(E26,G26,I26,K26,M26))*2.5,"")</f>
        <v/>
      </c>
      <c r="O26" s="13" t="n">
        <f aca="false">IF(ISNUMBER(N26),N26,0)</f>
        <v>0</v>
      </c>
    </row>
    <row r="27" customFormat="false" ht="15" hidden="false" customHeight="false" outlineLevel="0" collapsed="false">
      <c r="A27" s="10" t="n">
        <v>22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 t="str">
        <f aca="false">IF(COUNT(D27:M27)=10,(SUM(D27,F27,H27,J27,L27)-5+25-SUM(E27,G27,I27,K27,M27))*2.5,"")</f>
        <v/>
      </c>
      <c r="O27" s="13" t="n">
        <f aca="false">IF(ISNUMBER(N27),N27,0)</f>
        <v>0</v>
      </c>
    </row>
    <row r="28" customFormat="false" ht="15" hidden="false" customHeight="false" outlineLevel="0" collapsed="false">
      <c r="A28" s="10" t="n">
        <v>23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2" t="str">
        <f aca="false">IF(COUNT(D28:M28)=10,(SUM(D28,F28,H28,J28,L28)-5+25-SUM(E28,G28,I28,K28,M28))*2.5,"")</f>
        <v/>
      </c>
      <c r="O28" s="13" t="n">
        <f aca="false">IF(ISNUMBER(N28),N28,0)</f>
        <v>0</v>
      </c>
    </row>
    <row r="29" customFormat="false" ht="15" hidden="false" customHeight="false" outlineLevel="0" collapsed="false">
      <c r="A29" s="10" t="n">
        <v>24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2" t="str">
        <f aca="false">IF(COUNT(D29:M29)=10,(SUM(D29,F29,H29,J29,L29)-5+25-SUM(E29,G29,I29,K29,M29))*2.5,"")</f>
        <v/>
      </c>
      <c r="O29" s="13" t="n">
        <f aca="false">IF(ISNUMBER(N29),N29,0)</f>
        <v>0</v>
      </c>
    </row>
    <row r="30" customFormat="false" ht="15" hidden="false" customHeight="false" outlineLevel="0" collapsed="false">
      <c r="A30" s="10" t="n">
        <v>25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2" t="str">
        <f aca="false">IF(COUNT(D30:M30)=10,(SUM(D30,F30,H30,J30,L30)-5+25-SUM(E30,G30,I30,K30,M30))*2.5,"")</f>
        <v/>
      </c>
      <c r="O30" s="13" t="n">
        <f aca="false">IF(ISNUMBER(N30),N30,0)</f>
        <v>0</v>
      </c>
    </row>
    <row r="31" customFormat="false" ht="15" hidden="false" customHeight="false" outlineLevel="0" collapsed="false">
      <c r="A31" s="10" t="n">
        <v>26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2" t="str">
        <f aca="false">IF(COUNT(D31:M31)=10,(SUM(D31,F31,H31,J31,L31)-5+25-SUM(E31,G31,I31,K31,M31))*2.5,"")</f>
        <v/>
      </c>
      <c r="O31" s="13" t="n">
        <f aca="false">IF(ISNUMBER(N31),N31,0)</f>
        <v>0</v>
      </c>
    </row>
    <row r="32" customFormat="false" ht="15" hidden="false" customHeight="false" outlineLevel="0" collapsed="false">
      <c r="A32" s="10" t="n">
        <v>27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2" t="str">
        <f aca="false">IF(COUNT(D32:M32)=10,(SUM(D32,F32,H32,J32,L32)-5+25-SUM(E32,G32,I32,K32,M32))*2.5,"")</f>
        <v/>
      </c>
      <c r="O32" s="13" t="n">
        <f aca="false">IF(ISNUMBER(N32),N32,0)</f>
        <v>0</v>
      </c>
    </row>
    <row r="33" customFormat="false" ht="15" hidden="false" customHeight="false" outlineLevel="0" collapsed="false">
      <c r="A33" s="10" t="n">
        <v>28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2" t="str">
        <f aca="false">IF(COUNT(D33:M33)=10,(SUM(D33,F33,H33,J33,L33)-5+25-SUM(E33,G33,I33,K33,M33))*2.5,"")</f>
        <v/>
      </c>
      <c r="O33" s="13" t="n">
        <f aca="false">IF(ISNUMBER(N33),N33,0)</f>
        <v>0</v>
      </c>
    </row>
    <row r="34" customFormat="false" ht="15" hidden="false" customHeight="false" outlineLevel="0" collapsed="false">
      <c r="A34" s="10" t="n">
        <v>29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2" t="str">
        <f aca="false">IF(COUNT(D34:M34)=10,(SUM(D34,F34,H34,J34,L34)-5+25-SUM(E34,G34,I34,K34,M34))*2.5,"")</f>
        <v/>
      </c>
      <c r="O34" s="13" t="n">
        <f aca="false">IF(ISNUMBER(N34),N34,0)</f>
        <v>0</v>
      </c>
    </row>
    <row r="35" customFormat="false" ht="15" hidden="false" customHeight="false" outlineLevel="0" collapsed="false">
      <c r="A35" s="10" t="n">
        <v>30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2" t="str">
        <f aca="false">IF(COUNT(D35:M35)=10,(SUM(D35,F35,H35,J35,L35)-5+25-SUM(E35,G35,I35,K35,M35))*2.5,"")</f>
        <v/>
      </c>
      <c r="O35" s="13" t="n">
        <f aca="false">IF(ISNUMBER(N35),N35,0)</f>
        <v>0</v>
      </c>
    </row>
    <row r="36" customFormat="false" ht="15" hidden="false" customHeight="false" outlineLevel="0" collapsed="false">
      <c r="A36" s="10" t="n">
        <v>31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2" t="str">
        <f aca="false">IF(COUNT(D36:M36)=10,(SUM(D36,F36,H36,J36,L36)-5+25-SUM(E36,G36,I36,K36,M36))*2.5,"")</f>
        <v/>
      </c>
      <c r="O36" s="13" t="n">
        <f aca="false">IF(ISNUMBER(N36),N36,0)</f>
        <v>0</v>
      </c>
    </row>
    <row r="37" customFormat="false" ht="15" hidden="false" customHeight="false" outlineLevel="0" collapsed="false">
      <c r="A37" s="10" t="n">
        <v>32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2" t="str">
        <f aca="false">IF(COUNT(D37:M37)=10,(SUM(D37,F37,H37,J37,L37)-5+25-SUM(E37,G37,I37,K37,M37))*2.5,"")</f>
        <v/>
      </c>
      <c r="O37" s="13" t="n">
        <f aca="false">IF(ISNUMBER(N37),N37,0)</f>
        <v>0</v>
      </c>
    </row>
    <row r="38" customFormat="false" ht="15" hidden="false" customHeight="false" outlineLevel="0" collapsed="false">
      <c r="A38" s="10" t="n">
        <v>33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 t="str">
        <f aca="false">IF(COUNT(D38:M38)=10,(SUM(D38,F38,H38,J38,L38)-5+25-SUM(E38,G38,I38,K38,M38))*2.5,"")</f>
        <v/>
      </c>
      <c r="O38" s="13" t="n">
        <f aca="false">IF(ISNUMBER(N38),N38,0)</f>
        <v>0</v>
      </c>
    </row>
    <row r="39" customFormat="false" ht="15" hidden="false" customHeight="false" outlineLevel="0" collapsed="false">
      <c r="A39" s="10" t="n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2" t="str">
        <f aca="false">IF(COUNT(D39:M39)=10,(SUM(D39,F39,H39,J39,L39)-5+25-SUM(E39,G39,I39,K39,M39))*2.5,"")</f>
        <v/>
      </c>
      <c r="O39" s="13" t="n">
        <f aca="false">IF(ISNUMBER(N39),N39,0)</f>
        <v>0</v>
      </c>
    </row>
    <row r="40" customFormat="false" ht="15" hidden="false" customHeight="false" outlineLevel="0" collapsed="false">
      <c r="A40" s="10" t="n">
        <v>35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2" t="str">
        <f aca="false">IF(COUNT(D40:M40)=10,(SUM(D40,F40,H40,J40,L40)-5+25-SUM(E40,G40,I40,K40,M40))*2.5,"")</f>
        <v/>
      </c>
      <c r="O40" s="13" t="n">
        <f aca="false">IF(ISNUMBER(N40),N40,0)</f>
        <v>0</v>
      </c>
    </row>
    <row r="41" customFormat="false" ht="15" hidden="false" customHeight="false" outlineLevel="0" collapsed="false">
      <c r="A41" s="10" t="n">
        <v>36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 t="str">
        <f aca="false">IF(COUNT(D41:M41)=10,(SUM(D41,F41,H41,J41,L41)-5+25-SUM(E41,G41,I41,K41,M41))*2.5,"")</f>
        <v/>
      </c>
      <c r="O41" s="13" t="n">
        <f aca="false">IF(ISNUMBER(N41),N41,0)</f>
        <v>0</v>
      </c>
    </row>
    <row r="42" customFormat="false" ht="15" hidden="false" customHeight="false" outlineLevel="0" collapsed="false">
      <c r="A42" s="10" t="n">
        <v>37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2" t="str">
        <f aca="false">IF(COUNT(D42:M42)=10,(SUM(D42,F42,H42,J42,L42)-5+25-SUM(E42,G42,I42,K42,M42))*2.5,"")</f>
        <v/>
      </c>
      <c r="O42" s="13" t="n">
        <f aca="false">IF(ISNUMBER(N42),N42,0)</f>
        <v>0</v>
      </c>
    </row>
    <row r="43" customFormat="false" ht="15" hidden="false" customHeight="false" outlineLevel="0" collapsed="false">
      <c r="A43" s="10" t="n">
        <v>38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2" t="str">
        <f aca="false">IF(COUNT(D43:M43)=10,(SUM(D43,F43,H43,J43,L43)-5+25-SUM(E43,G43,I43,K43,M43))*2.5,"")</f>
        <v/>
      </c>
      <c r="O43" s="13" t="n">
        <f aca="false">IF(ISNUMBER(N43),N43,0)</f>
        <v>0</v>
      </c>
    </row>
    <row r="44" customFormat="false" ht="15" hidden="false" customHeight="false" outlineLevel="0" collapsed="false">
      <c r="A44" s="10" t="n">
        <v>39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 t="str">
        <f aca="false">IF(COUNT(D44:M44)=10,(SUM(D44,F44,H44,J44,L44)-5+25-SUM(E44,G44,I44,K44,M44))*2.5,"")</f>
        <v/>
      </c>
      <c r="O44" s="13" t="n">
        <f aca="false">IF(ISNUMBER(N44),N44,0)</f>
        <v>0</v>
      </c>
    </row>
    <row r="45" customFormat="false" ht="15" hidden="false" customHeight="false" outlineLevel="0" collapsed="false">
      <c r="A45" s="10" t="n">
        <v>40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2" t="str">
        <f aca="false">IF(COUNT(D45:M45)=10,(SUM(D45,F45,H45,J45,L45)-5+25-SUM(E45,G45,I45,K45,M45))*2.5,"")</f>
        <v/>
      </c>
      <c r="O45" s="13" t="n">
        <f aca="false">IF(ISNUMBER(N45),N45,0)</f>
        <v>0</v>
      </c>
    </row>
    <row r="46" customFormat="false" ht="15" hidden="false" customHeight="false" outlineLevel="0" collapsed="false">
      <c r="A46" s="10" t="n">
        <v>41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2" t="str">
        <f aca="false">IF(COUNT(D46:M46)=10,(SUM(D46,F46,H46,J46,L46)-5+25-SUM(E46,G46,I46,K46,M46))*2.5,"")</f>
        <v/>
      </c>
      <c r="O46" s="13" t="n">
        <f aca="false">IF(ISNUMBER(N46),N46,0)</f>
        <v>0</v>
      </c>
    </row>
    <row r="47" customFormat="false" ht="15" hidden="false" customHeight="false" outlineLevel="0" collapsed="false">
      <c r="A47" s="10" t="n">
        <v>42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2" t="str">
        <f aca="false">IF(COUNT(D47:M47)=10,(SUM(D47,F47,H47,J47,L47)-5+25-SUM(E47,G47,I47,K47,M47))*2.5,"")</f>
        <v/>
      </c>
      <c r="O47" s="13" t="n">
        <f aca="false">IF(ISNUMBER(N47),N47,0)</f>
        <v>0</v>
      </c>
    </row>
    <row r="48" customFormat="false" ht="15" hidden="false" customHeight="false" outlineLevel="0" collapsed="false">
      <c r="A48" s="10" t="n">
        <v>43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2" t="str">
        <f aca="false">IF(COUNT(D48:M48)=10,(SUM(D48,F48,H48,J48,L48)-5+25-SUM(E48,G48,I48,K48,M48))*2.5,"")</f>
        <v/>
      </c>
      <c r="O48" s="13" t="n">
        <f aca="false">IF(ISNUMBER(N48),N48,0)</f>
        <v>0</v>
      </c>
    </row>
    <row r="49" customFormat="false" ht="15" hidden="false" customHeight="false" outlineLevel="0" collapsed="false">
      <c r="A49" s="10" t="n">
        <v>44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 t="str">
        <f aca="false">IF(COUNT(D49:M49)=10,(SUM(D49,F49,H49,J49,L49)-5+25-SUM(E49,G49,I49,K49,M49))*2.5,"")</f>
        <v/>
      </c>
      <c r="O49" s="13" t="n">
        <f aca="false">IF(ISNUMBER(N49),N49,0)</f>
        <v>0</v>
      </c>
    </row>
    <row r="50" customFormat="false" ht="15" hidden="false" customHeight="false" outlineLevel="0" collapsed="false">
      <c r="A50" s="10" t="n">
        <v>45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2" t="str">
        <f aca="false">IF(COUNT(D50:M50)=10,(SUM(D50,F50,H50,J50,L50)-5+25-SUM(E50,G50,I50,K50,M50))*2.5,"")</f>
        <v/>
      </c>
      <c r="O50" s="13" t="n">
        <f aca="false">IF(ISNUMBER(N50),N50,0)</f>
        <v>0</v>
      </c>
    </row>
    <row r="51" customFormat="false" ht="15" hidden="false" customHeight="false" outlineLevel="0" collapsed="false">
      <c r="A51" s="10" t="n">
        <v>46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2" t="str">
        <f aca="false">IF(COUNT(D51:M51)=10,(SUM(D51,F51,H51,J51,L51)-5+25-SUM(E51,G51,I51,K51,M51))*2.5,"")</f>
        <v/>
      </c>
      <c r="O51" s="13" t="n">
        <f aca="false">IF(ISNUMBER(N51),N51,0)</f>
        <v>0</v>
      </c>
    </row>
    <row r="52" customFormat="false" ht="15" hidden="false" customHeight="false" outlineLevel="0" collapsed="false">
      <c r="A52" s="10" t="n">
        <v>47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2" t="str">
        <f aca="false">IF(COUNT(D52:M52)=10,(SUM(D52,F52,H52,J52,L52)-5+25-SUM(E52,G52,I52,K52,M52))*2.5,"")</f>
        <v/>
      </c>
      <c r="O52" s="13" t="n">
        <f aca="false">IF(ISNUMBER(N52),N52,0)</f>
        <v>0</v>
      </c>
    </row>
    <row r="53" customFormat="false" ht="15" hidden="false" customHeight="false" outlineLevel="0" collapsed="false">
      <c r="A53" s="10" t="n">
        <v>48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2" t="str">
        <f aca="false">IF(COUNT(D53:M53)=10,(SUM(D53,F53,H53,J53,L53)-5+25-SUM(E53,G53,I53,K53,M53))*2.5,"")</f>
        <v/>
      </c>
      <c r="O53" s="13" t="n">
        <f aca="false">IF(ISNUMBER(N53),N53,0)</f>
        <v>0</v>
      </c>
    </row>
    <row r="54" customFormat="false" ht="15" hidden="false" customHeight="false" outlineLevel="0" collapsed="false">
      <c r="A54" s="10" t="n">
        <v>49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2" t="str">
        <f aca="false">IF(COUNT(D54:M54)=10,(SUM(D54,F54,H54,J54,L54)-5+25-SUM(E54,G54,I54,K54,M54))*2.5,"")</f>
        <v/>
      </c>
      <c r="O54" s="13" t="n">
        <f aca="false">IF(ISNUMBER(N54),N54,0)</f>
        <v>0</v>
      </c>
    </row>
    <row r="55" customFormat="false" ht="15" hidden="false" customHeight="false" outlineLevel="0" collapsed="false">
      <c r="A55" s="10" t="n">
        <v>50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2" t="str">
        <f aca="false">IF(COUNT(D55:M55)=10,(SUM(D55,F55,H55,J55,L55)-5+25-SUM(E55,G55,I55,K55,M55))*2.5,"")</f>
        <v/>
      </c>
      <c r="O55" s="13" t="n">
        <f aca="false">IF(ISNUMBER(N55),N55,0)</f>
        <v>0</v>
      </c>
    </row>
    <row r="56" customFormat="false" ht="15" hidden="false" customHeight="false" outlineLevel="0" collapsed="false">
      <c r="A56" s="10" t="n">
        <v>51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2" t="str">
        <f aca="false">IF(COUNT(D56:M56)=10,(SUM(D56,F56,H56,J56,L56)-5+25-SUM(E56,G56,I56,K56,M56))*2.5,"")</f>
        <v/>
      </c>
      <c r="O56" s="13" t="n">
        <f aca="false">IF(ISNUMBER(N56),N56,0)</f>
        <v>0</v>
      </c>
    </row>
    <row r="57" customFormat="false" ht="15" hidden="false" customHeight="false" outlineLevel="0" collapsed="false">
      <c r="A57" s="10" t="n">
        <v>52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2" t="str">
        <f aca="false">IF(COUNT(D57:M57)=10,(SUM(D57,F57,H57,J57,L57)-5+25-SUM(E57,G57,I57,K57,M57))*2.5,"")</f>
        <v/>
      </c>
      <c r="O57" s="13" t="n">
        <f aca="false">IF(ISNUMBER(N57),N57,0)</f>
        <v>0</v>
      </c>
    </row>
    <row r="58" customFormat="false" ht="15" hidden="false" customHeight="false" outlineLevel="0" collapsed="false">
      <c r="A58" s="10" t="n">
        <v>53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2" t="str">
        <f aca="false">IF(COUNT(D58:M58)=10,(SUM(D58,F58,H58,J58,L58)-5+25-SUM(E58,G58,I58,K58,M58))*2.5,"")</f>
        <v/>
      </c>
      <c r="O58" s="13" t="n">
        <f aca="false">IF(ISNUMBER(N58),N58,0)</f>
        <v>0</v>
      </c>
    </row>
    <row r="59" customFormat="false" ht="15" hidden="false" customHeight="false" outlineLevel="0" collapsed="false">
      <c r="A59" s="10" t="n">
        <v>54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2" t="str">
        <f aca="false">IF(COUNT(D59:M59)=10,(SUM(D59,F59,H59,J59,L59)-5+25-SUM(E59,G59,I59,K59,M59))*2.5,"")</f>
        <v/>
      </c>
      <c r="O59" s="13" t="n">
        <f aca="false">IF(ISNUMBER(N59),N59,0)</f>
        <v>0</v>
      </c>
    </row>
    <row r="60" customFormat="false" ht="15" hidden="false" customHeight="false" outlineLevel="0" collapsed="false">
      <c r="A60" s="10" t="n">
        <v>55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2" t="str">
        <f aca="false">IF(COUNT(D60:M60)=10,(SUM(D60,F60,H60,J60,L60)-5+25-SUM(E60,G60,I60,K60,M60))*2.5,"")</f>
        <v/>
      </c>
      <c r="O60" s="13" t="n">
        <f aca="false">IF(ISNUMBER(N60),N60,0)</f>
        <v>0</v>
      </c>
    </row>
    <row r="61" customFormat="false" ht="15" hidden="false" customHeight="false" outlineLevel="0" collapsed="false">
      <c r="A61" s="10" t="n">
        <v>56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2" t="str">
        <f aca="false">IF(COUNT(D61:M61)=10,(SUM(D61,F61,H61,J61,L61)-5+25-SUM(E61,G61,I61,K61,M61))*2.5,"")</f>
        <v/>
      </c>
      <c r="O61" s="13" t="n">
        <f aca="false">IF(ISNUMBER(N61),N61,0)</f>
        <v>0</v>
      </c>
    </row>
    <row r="62" customFormat="false" ht="15" hidden="false" customHeight="false" outlineLevel="0" collapsed="false">
      <c r="A62" s="10" t="n">
        <v>57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2" t="str">
        <f aca="false">IF(COUNT(D62:M62)=10,(SUM(D62,F62,H62,J62,L62)-5+25-SUM(E62,G62,I62,K62,M62))*2.5,"")</f>
        <v/>
      </c>
      <c r="O62" s="13" t="n">
        <f aca="false">IF(ISNUMBER(N62),N62,0)</f>
        <v>0</v>
      </c>
    </row>
    <row r="63" customFormat="false" ht="15" hidden="false" customHeight="false" outlineLevel="0" collapsed="false">
      <c r="A63" s="10" t="n">
        <v>58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2" t="str">
        <f aca="false">IF(COUNT(D63:M63)=10,(SUM(D63,F63,H63,J63,L63)-5+25-SUM(E63,G63,I63,K63,M63))*2.5,"")</f>
        <v/>
      </c>
      <c r="O63" s="13" t="n">
        <f aca="false">IF(ISNUMBER(N63),N63,0)</f>
        <v>0</v>
      </c>
    </row>
    <row r="64" customFormat="false" ht="15" hidden="false" customHeight="false" outlineLevel="0" collapsed="false">
      <c r="A64" s="10" t="n">
        <v>59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2" t="str">
        <f aca="false">IF(COUNT(D64:M64)=10,(SUM(D64,F64,H64,J64,L64)-5+25-SUM(E64,G64,I64,K64,M64))*2.5,"")</f>
        <v/>
      </c>
      <c r="O64" s="13" t="n">
        <f aca="false">IF(ISNUMBER(N64),N64,0)</f>
        <v>0</v>
      </c>
    </row>
    <row r="65" customFormat="false" ht="15" hidden="false" customHeight="false" outlineLevel="0" collapsed="false">
      <c r="A65" s="10" t="n">
        <v>60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2" t="str">
        <f aca="false">IF(COUNT(D65:M65)=10,(SUM(D65,F65,H65,J65,L65)-5+25-SUM(E65,G65,I65,K65,M65))*2.5,"")</f>
        <v/>
      </c>
      <c r="O65" s="13" t="n">
        <f aca="false">IF(ISNUMBER(N65),N65,0)</f>
        <v>0</v>
      </c>
    </row>
    <row r="66" customFormat="false" ht="15" hidden="false" customHeight="false" outlineLevel="0" collapsed="false">
      <c r="A66" s="10" t="n">
        <v>61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2" t="str">
        <f aca="false">IF(COUNT(D66:M66)=10,(SUM(D66,F66,H66,J66,L66)-5+25-SUM(E66,G66,I66,K66,M66))*2.5,"")</f>
        <v/>
      </c>
      <c r="O66" s="13" t="n">
        <f aca="false">IF(ISNUMBER(N66),N66,0)</f>
        <v>0</v>
      </c>
    </row>
    <row r="67" customFormat="false" ht="15" hidden="false" customHeight="false" outlineLevel="0" collapsed="false">
      <c r="A67" s="10" t="n">
        <v>62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2" t="str">
        <f aca="false">IF(COUNT(D67:M67)=10,(SUM(D67,F67,H67,J67,L67)-5+25-SUM(E67,G67,I67,K67,M67))*2.5,"")</f>
        <v/>
      </c>
      <c r="O67" s="13" t="n">
        <f aca="false">IF(ISNUMBER(N67),N67,0)</f>
        <v>0</v>
      </c>
    </row>
    <row r="68" customFormat="false" ht="15" hidden="false" customHeight="false" outlineLevel="0" collapsed="false">
      <c r="A68" s="10" t="n">
        <v>63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2" t="str">
        <f aca="false">IF(COUNT(D68:M68)=10,(SUM(D68,F68,H68,J68,L68)-5+25-SUM(E68,G68,I68,K68,M68))*2.5,"")</f>
        <v/>
      </c>
      <c r="O68" s="13" t="n">
        <f aca="false">IF(ISNUMBER(N68),N68,0)</f>
        <v>0</v>
      </c>
    </row>
    <row r="69" customFormat="false" ht="15" hidden="false" customHeight="false" outlineLevel="0" collapsed="false">
      <c r="A69" s="10" t="n">
        <v>64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2" t="str">
        <f aca="false">IF(COUNT(D69:M69)=10,(SUM(D69,F69,H69,J69,L69)-5+25-SUM(E69,G69,I69,K69,M69))*2.5,"")</f>
        <v/>
      </c>
      <c r="O69" s="13" t="n">
        <f aca="false">IF(ISNUMBER(N69),N69,0)</f>
        <v>0</v>
      </c>
    </row>
    <row r="70" customFormat="false" ht="15" hidden="false" customHeight="false" outlineLevel="0" collapsed="false">
      <c r="A70" s="10" t="n">
        <v>65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2" t="str">
        <f aca="false">IF(COUNT(D70:M70)=10,(SUM(D70,F70,H70,J70,L70)-5+25-SUM(E70,G70,I70,K70,M70))*2.5,"")</f>
        <v/>
      </c>
      <c r="O70" s="13" t="n">
        <f aca="false">IF(ISNUMBER(N70),N70,0)</f>
        <v>0</v>
      </c>
    </row>
    <row r="71" customFormat="false" ht="15" hidden="false" customHeight="false" outlineLevel="0" collapsed="false">
      <c r="A71" s="10" t="n">
        <v>66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2" t="str">
        <f aca="false">IF(COUNT(D71:M71)=10,(SUM(D71,F71,H71,J71,L71)-5+25-SUM(E71,G71,I71,K71,M71))*2.5,"")</f>
        <v/>
      </c>
      <c r="O71" s="13" t="n">
        <f aca="false">IF(ISNUMBER(N71),N71,0)</f>
        <v>0</v>
      </c>
    </row>
    <row r="72" customFormat="false" ht="15" hidden="false" customHeight="false" outlineLevel="0" collapsed="false">
      <c r="A72" s="10" t="n">
        <v>67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2" t="str">
        <f aca="false">IF(COUNT(D72:M72)=10,(SUM(D72,F72,H72,J72,L72)-5+25-SUM(E72,G72,I72,K72,M72))*2.5,"")</f>
        <v/>
      </c>
      <c r="O72" s="13" t="n">
        <f aca="false">IF(ISNUMBER(N72),N72,0)</f>
        <v>0</v>
      </c>
    </row>
    <row r="73" customFormat="false" ht="15" hidden="false" customHeight="false" outlineLevel="0" collapsed="false">
      <c r="A73" s="10" t="n">
        <v>68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2" t="str">
        <f aca="false">IF(COUNT(D73:M73)=10,(SUM(D73,F73,H73,J73,L73)-5+25-SUM(E73,G73,I73,K73,M73))*2.5,"")</f>
        <v/>
      </c>
      <c r="O73" s="13" t="n">
        <f aca="false">IF(ISNUMBER(N73),N73,0)</f>
        <v>0</v>
      </c>
    </row>
    <row r="74" customFormat="false" ht="15" hidden="false" customHeight="false" outlineLevel="0" collapsed="false">
      <c r="A74" s="10" t="n">
        <v>69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2" t="str">
        <f aca="false">IF(COUNT(D74:M74)=10,(SUM(D74,F74,H74,J74,L74)-5+25-SUM(E74,G74,I74,K74,M74))*2.5,"")</f>
        <v/>
      </c>
      <c r="O74" s="13" t="n">
        <f aca="false">IF(ISNUMBER(N74),N74,0)</f>
        <v>0</v>
      </c>
    </row>
    <row r="75" customFormat="false" ht="15" hidden="false" customHeight="false" outlineLevel="0" collapsed="false">
      <c r="A75" s="10" t="n">
        <v>70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2" t="str">
        <f aca="false">IF(COUNT(D75:M75)=10,(SUM(D75,F75,H75,J75,L75)-5+25-SUM(E75,G75,I75,K75,M75))*2.5,"")</f>
        <v/>
      </c>
      <c r="O75" s="13" t="n">
        <f aca="false">IF(ISNUMBER(N75),N75,0)</f>
        <v>0</v>
      </c>
    </row>
    <row r="76" customFormat="false" ht="15" hidden="false" customHeight="false" outlineLevel="0" collapsed="false">
      <c r="A76" s="10" t="n">
        <v>71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2" t="str">
        <f aca="false">IF(COUNT(D76:M76)=10,(SUM(D76,F76,H76,J76,L76)-5+25-SUM(E76,G76,I76,K76,M76))*2.5,"")</f>
        <v/>
      </c>
      <c r="O76" s="13" t="n">
        <f aca="false">IF(ISNUMBER(N76),N76,0)</f>
        <v>0</v>
      </c>
    </row>
    <row r="77" customFormat="false" ht="15" hidden="false" customHeight="false" outlineLevel="0" collapsed="false">
      <c r="A77" s="10" t="n">
        <v>72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2" t="str">
        <f aca="false">IF(COUNT(D77:M77)=10,(SUM(D77,F77,H77,J77,L77)-5+25-SUM(E77,G77,I77,K77,M77))*2.5,"")</f>
        <v/>
      </c>
      <c r="O77" s="13" t="n">
        <f aca="false">IF(ISNUMBER(N77),N77,0)</f>
        <v>0</v>
      </c>
    </row>
    <row r="78" customFormat="false" ht="15" hidden="false" customHeight="false" outlineLevel="0" collapsed="false">
      <c r="A78" s="10" t="n">
        <v>73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2" t="str">
        <f aca="false">IF(COUNT(D78:M78)=10,(SUM(D78,F78,H78,J78,L78)-5+25-SUM(E78,G78,I78,K78,M78))*2.5,"")</f>
        <v/>
      </c>
      <c r="O78" s="13" t="n">
        <f aca="false">IF(ISNUMBER(N78),N78,0)</f>
        <v>0</v>
      </c>
    </row>
    <row r="79" customFormat="false" ht="15" hidden="false" customHeight="false" outlineLevel="0" collapsed="false">
      <c r="A79" s="10" t="n">
        <v>74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2" t="str">
        <f aca="false">IF(COUNT(D79:M79)=10,(SUM(D79,F79,H79,J79,L79)-5+25-SUM(E79,G79,I79,K79,M79))*2.5,"")</f>
        <v/>
      </c>
      <c r="O79" s="13" t="n">
        <f aca="false">IF(ISNUMBER(N79),N79,0)</f>
        <v>0</v>
      </c>
    </row>
    <row r="80" customFormat="false" ht="15" hidden="false" customHeight="false" outlineLevel="0" collapsed="false">
      <c r="A80" s="10" t="n">
        <v>75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2" t="str">
        <f aca="false">IF(COUNT(D80:M80)=10,(SUM(D80,F80,H80,J80,L80)-5+25-SUM(E80,G80,I80,K80,M80))*2.5,"")</f>
        <v/>
      </c>
      <c r="O80" s="13" t="n">
        <f aca="false">IF(ISNUMBER(N80),N80,0)</f>
        <v>0</v>
      </c>
    </row>
    <row r="81" customFormat="false" ht="15" hidden="false" customHeight="false" outlineLevel="0" collapsed="false">
      <c r="A81" s="10" t="n">
        <v>76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2" t="str">
        <f aca="false">IF(COUNT(D81:M81)=10,(SUM(D81,F81,H81,J81,L81)-5+25-SUM(E81,G81,I81,K81,M81))*2.5,"")</f>
        <v/>
      </c>
      <c r="O81" s="13" t="n">
        <f aca="false">IF(ISNUMBER(N81),N81,0)</f>
        <v>0</v>
      </c>
    </row>
    <row r="82" customFormat="false" ht="15" hidden="false" customHeight="false" outlineLevel="0" collapsed="false">
      <c r="A82" s="10" t="n">
        <v>77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2" t="str">
        <f aca="false">IF(COUNT(D82:M82)=10,(SUM(D82,F82,H82,J82,L82)-5+25-SUM(E82,G82,I82,K82,M82))*2.5,"")</f>
        <v/>
      </c>
      <c r="O82" s="13" t="n">
        <f aca="false">IF(ISNUMBER(N82),N82,0)</f>
        <v>0</v>
      </c>
    </row>
    <row r="83" customFormat="false" ht="15" hidden="false" customHeight="false" outlineLevel="0" collapsed="false">
      <c r="A83" s="10" t="n">
        <v>78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2" t="str">
        <f aca="false">IF(COUNT(D83:M83)=10,(SUM(D83,F83,H83,J83,L83)-5+25-SUM(E83,G83,I83,K83,M83))*2.5,"")</f>
        <v/>
      </c>
      <c r="O83" s="13" t="n">
        <f aca="false">IF(ISNUMBER(N83),N83,0)</f>
        <v>0</v>
      </c>
    </row>
    <row r="84" customFormat="false" ht="15" hidden="false" customHeight="false" outlineLevel="0" collapsed="false">
      <c r="A84" s="10" t="n">
        <v>79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2" t="str">
        <f aca="false">IF(COUNT(D84:M84)=10,(SUM(D84,F84,H84,J84,L84)-5+25-SUM(E84,G84,I84,K84,M84))*2.5,"")</f>
        <v/>
      </c>
      <c r="O84" s="13" t="n">
        <f aca="false">IF(ISNUMBER(N84),N84,0)</f>
        <v>0</v>
      </c>
    </row>
    <row r="85" customFormat="false" ht="15" hidden="false" customHeight="false" outlineLevel="0" collapsed="false">
      <c r="A85" s="10" t="n">
        <v>80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2" t="str">
        <f aca="false">IF(COUNT(D85:M85)=10,(SUM(D85,F85,H85,J85,L85)-5+25-SUM(E85,G85,I85,K85,M85))*2.5,"")</f>
        <v/>
      </c>
      <c r="O85" s="13" t="n">
        <f aca="false">IF(ISNUMBER(N85),N85,0)</f>
        <v>0</v>
      </c>
    </row>
    <row r="86" customFormat="false" ht="15" hidden="false" customHeight="false" outlineLevel="0" collapsed="false">
      <c r="A86" s="10" t="n">
        <v>81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2" t="str">
        <f aca="false">IF(COUNT(D86:M86)=10,(SUM(D86,F86,H86,J86,L86)-5+25-SUM(E86,G86,I86,K86,M86))*2.5,"")</f>
        <v/>
      </c>
      <c r="O86" s="13" t="n">
        <f aca="false">IF(ISNUMBER(N86),N86,0)</f>
        <v>0</v>
      </c>
    </row>
    <row r="87" customFormat="false" ht="15" hidden="false" customHeight="false" outlineLevel="0" collapsed="false">
      <c r="A87" s="10" t="n">
        <v>82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2" t="str">
        <f aca="false">IF(COUNT(D87:M87)=10,(SUM(D87,F87,H87,J87,L87)-5+25-SUM(E87,G87,I87,K87,M87))*2.5,"")</f>
        <v/>
      </c>
      <c r="O87" s="13" t="n">
        <f aca="false">IF(ISNUMBER(N87),N87,0)</f>
        <v>0</v>
      </c>
    </row>
    <row r="88" customFormat="false" ht="15" hidden="false" customHeight="false" outlineLevel="0" collapsed="false">
      <c r="A88" s="10" t="n">
        <v>83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2" t="str">
        <f aca="false">IF(COUNT(D88:M88)=10,(SUM(D88,F88,H88,J88,L88)-5+25-SUM(E88,G88,I88,K88,M88))*2.5,"")</f>
        <v/>
      </c>
      <c r="O88" s="13" t="n">
        <f aca="false">IF(ISNUMBER(N88),N88,0)</f>
        <v>0</v>
      </c>
    </row>
    <row r="89" customFormat="false" ht="15" hidden="false" customHeight="false" outlineLevel="0" collapsed="false">
      <c r="A89" s="10" t="n">
        <v>84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2" t="str">
        <f aca="false">IF(COUNT(D89:M89)=10,(SUM(D89,F89,H89,J89,L89)-5+25-SUM(E89,G89,I89,K89,M89))*2.5,"")</f>
        <v/>
      </c>
      <c r="O89" s="13" t="n">
        <f aca="false">IF(ISNUMBER(N89),N89,0)</f>
        <v>0</v>
      </c>
    </row>
    <row r="90" customFormat="false" ht="15" hidden="false" customHeight="false" outlineLevel="0" collapsed="false">
      <c r="A90" s="10" t="n">
        <v>85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2" t="str">
        <f aca="false">IF(COUNT(D90:M90)=10,(SUM(D90,F90,H90,J90,L90)-5+25-SUM(E90,G90,I90,K90,M90))*2.5,"")</f>
        <v/>
      </c>
      <c r="O90" s="13" t="n">
        <f aca="false">IF(ISNUMBER(N90),N90,0)</f>
        <v>0</v>
      </c>
    </row>
    <row r="91" customFormat="false" ht="15" hidden="false" customHeight="false" outlineLevel="0" collapsed="false">
      <c r="A91" s="10" t="n">
        <v>86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2" t="str">
        <f aca="false">IF(COUNT(D91:M91)=10,(SUM(D91,F91,H91,J91,L91)-5+25-SUM(E91,G91,I91,K91,M91))*2.5,"")</f>
        <v/>
      </c>
      <c r="O91" s="13" t="n">
        <f aca="false">IF(ISNUMBER(N91),N91,0)</f>
        <v>0</v>
      </c>
    </row>
    <row r="92" customFormat="false" ht="15" hidden="false" customHeight="false" outlineLevel="0" collapsed="false">
      <c r="A92" s="10" t="n">
        <v>87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2" t="str">
        <f aca="false">IF(COUNT(D92:M92)=10,(SUM(D92,F92,H92,J92,L92)-5+25-SUM(E92,G92,I92,K92,M92))*2.5,"")</f>
        <v/>
      </c>
      <c r="O92" s="13" t="n">
        <f aca="false">IF(ISNUMBER(N92),N92,0)</f>
        <v>0</v>
      </c>
    </row>
    <row r="93" customFormat="false" ht="15" hidden="false" customHeight="false" outlineLevel="0" collapsed="false">
      <c r="A93" s="10" t="n">
        <v>88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2" t="str">
        <f aca="false">IF(COUNT(D93:M93)=10,(SUM(D93,F93,H93,J93,L93)-5+25-SUM(E93,G93,I93,K93,M93))*2.5,"")</f>
        <v/>
      </c>
      <c r="O93" s="13" t="n">
        <f aca="false">IF(ISNUMBER(N93),N93,0)</f>
        <v>0</v>
      </c>
    </row>
    <row r="94" customFormat="false" ht="15" hidden="false" customHeight="false" outlineLevel="0" collapsed="false">
      <c r="A94" s="10" t="n">
        <v>89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2" t="str">
        <f aca="false">IF(COUNT(D94:M94)=10,(SUM(D94,F94,H94,J94,L94)-5+25-SUM(E94,G94,I94,K94,M94))*2.5,"")</f>
        <v/>
      </c>
      <c r="O94" s="13" t="n">
        <f aca="false">IF(ISNUMBER(N94),N94,0)</f>
        <v>0</v>
      </c>
    </row>
    <row r="95" customFormat="false" ht="15" hidden="false" customHeight="false" outlineLevel="0" collapsed="false">
      <c r="A95" s="10" t="n">
        <v>90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2" t="str">
        <f aca="false">IF(COUNT(D95:M95)=10,(SUM(D95,F95,H95,J95,L95)-5+25-SUM(E95,G95,I95,K95,M95))*2.5,"")</f>
        <v/>
      </c>
      <c r="O95" s="13" t="n">
        <f aca="false">IF(ISNUMBER(N95),N95,0)</f>
        <v>0</v>
      </c>
    </row>
    <row r="96" customFormat="false" ht="15" hidden="false" customHeight="false" outlineLevel="0" collapsed="false">
      <c r="A96" s="10" t="n">
        <v>91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2" t="str">
        <f aca="false">IF(COUNT(D96:M96)=10,(SUM(D96,F96,H96,J96,L96)-5+25-SUM(E96,G96,I96,K96,M96))*2.5,"")</f>
        <v/>
      </c>
      <c r="O96" s="13" t="n">
        <f aca="false">IF(ISNUMBER(N96),N96,0)</f>
        <v>0</v>
      </c>
    </row>
    <row r="97" customFormat="false" ht="15" hidden="false" customHeight="false" outlineLevel="0" collapsed="false">
      <c r="A97" s="10" t="n">
        <v>92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2" t="str">
        <f aca="false">IF(COUNT(D97:M97)=10,(SUM(D97,F97,H97,J97,L97)-5+25-SUM(E97,G97,I97,K97,M97))*2.5,"")</f>
        <v/>
      </c>
      <c r="O97" s="13" t="n">
        <f aca="false">IF(ISNUMBER(N97),N97,0)</f>
        <v>0</v>
      </c>
    </row>
    <row r="98" customFormat="false" ht="15" hidden="false" customHeight="false" outlineLevel="0" collapsed="false">
      <c r="A98" s="10" t="n">
        <v>93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2" t="str">
        <f aca="false">IF(COUNT(D98:M98)=10,(SUM(D98,F98,H98,J98,L98)-5+25-SUM(E98,G98,I98,K98,M98))*2.5,"")</f>
        <v/>
      </c>
      <c r="O98" s="13" t="n">
        <f aca="false">IF(ISNUMBER(N98),N98,0)</f>
        <v>0</v>
      </c>
    </row>
    <row r="99" customFormat="false" ht="15" hidden="false" customHeight="false" outlineLevel="0" collapsed="false">
      <c r="A99" s="10" t="n">
        <v>94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2" t="str">
        <f aca="false">IF(COUNT(D99:M99)=10,(SUM(D99,F99,H99,J99,L99)-5+25-SUM(E99,G99,I99,K99,M99))*2.5,"")</f>
        <v/>
      </c>
      <c r="O99" s="13" t="n">
        <f aca="false">IF(ISNUMBER(N99),N99,0)</f>
        <v>0</v>
      </c>
    </row>
    <row r="100" customFormat="false" ht="15" hidden="false" customHeight="false" outlineLevel="0" collapsed="false">
      <c r="A100" s="10" t="n">
        <v>95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2" t="str">
        <f aca="false">IF(COUNT(D100:M100)=10,(SUM(D100,F100,H100,J100,L100)-5+25-SUM(E100,G100,I100,K100,M100))*2.5,"")</f>
        <v/>
      </c>
      <c r="O100" s="13" t="n">
        <f aca="false">IF(ISNUMBER(N100),N100,0)</f>
        <v>0</v>
      </c>
    </row>
    <row r="101" customFormat="false" ht="15" hidden="false" customHeight="false" outlineLevel="0" collapsed="false">
      <c r="A101" s="10" t="n">
        <v>96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2" t="str">
        <f aca="false">IF(COUNT(D101:M101)=10,(SUM(D101,F101,H101,J101,L101)-5+25-SUM(E101,G101,I101,K101,M101))*2.5,"")</f>
        <v/>
      </c>
      <c r="O101" s="13" t="n">
        <f aca="false">IF(ISNUMBER(N101),N101,0)</f>
        <v>0</v>
      </c>
    </row>
    <row r="102" customFormat="false" ht="15" hidden="false" customHeight="false" outlineLevel="0" collapsed="false">
      <c r="A102" s="10" t="n">
        <v>97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2" t="str">
        <f aca="false">IF(COUNT(D102:M102)=10,(SUM(D102,F102,H102,J102,L102)-5+25-SUM(E102,G102,I102,K102,M102))*2.5,"")</f>
        <v/>
      </c>
      <c r="O102" s="13" t="n">
        <f aca="false">IF(ISNUMBER(N102),N102,0)</f>
        <v>0</v>
      </c>
    </row>
    <row r="103" customFormat="false" ht="15" hidden="false" customHeight="false" outlineLevel="0" collapsed="false">
      <c r="A103" s="10" t="n">
        <v>98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2" t="str">
        <f aca="false">IF(COUNT(D103:M103)=10,(SUM(D103,F103,H103,J103,L103)-5+25-SUM(E103,G103,I103,K103,M103))*2.5,"")</f>
        <v/>
      </c>
      <c r="O103" s="13" t="n">
        <f aca="false">IF(ISNUMBER(N103),N103,0)</f>
        <v>0</v>
      </c>
    </row>
    <row r="104" customFormat="false" ht="15" hidden="false" customHeight="false" outlineLevel="0" collapsed="false">
      <c r="A104" s="10" t="n">
        <v>99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2" t="str">
        <f aca="false">IF(COUNT(D104:M104)=10,(SUM(D104,F104,H104,J104,L104)-5+25-SUM(E104,G104,I104,K104,M104))*2.5,"")</f>
        <v/>
      </c>
      <c r="O104" s="13" t="n">
        <f aca="false">IF(ISNUMBER(N104),N104,0)</f>
        <v>0</v>
      </c>
    </row>
    <row r="105" customFormat="false" ht="15" hidden="false" customHeight="false" outlineLevel="0" collapsed="false">
      <c r="A105" s="10" t="n">
        <v>100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2" t="str">
        <f aca="false">IF(COUNT(D105:M105)=10,(SUM(D105,F105,H105,J105,L105)-5+25-SUM(E105,G105,I105,K105,M105))*2.5,"")</f>
        <v/>
      </c>
      <c r="O105" s="13" t="n">
        <f aca="false">IF(ISNUMBER(N105),N105,0)</f>
        <v>0</v>
      </c>
    </row>
  </sheetData>
  <dataValidations count="2">
    <dataValidation allowBlank="true" error="Pilih Admin Mitra atau Calon Peserta" errorStyle="stop" errorTitle="Kelompok" operator="between" showDropDown="false" showErrorMessage="false" showInputMessage="false" sqref="B6:B105" type="list">
      <formula1>"Admin Mitra,Calon Peserta"</formula1>
      <formula2>0</formula2>
    </dataValidation>
    <dataValidation allowBlank="true" error="Isi angka 1 sampai 5" errorStyle="stop" errorTitle="Jawaban SUS" operator="between" showDropDown="false" showErrorMessage="false" showInputMessage="false" sqref="D6:M10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</cols>
  <sheetData>
    <row r="1" customFormat="false" ht="16.15" hidden="false" customHeight="false" outlineLevel="0" collapsed="false">
      <c r="A1" s="6" t="s">
        <v>34</v>
      </c>
    </row>
    <row r="3" customFormat="false" ht="15" hidden="false" customHeight="false" outlineLevel="0" collapsed="false">
      <c r="A3" s="8" t="s">
        <v>35</v>
      </c>
      <c r="B3" s="8" t="s">
        <v>36</v>
      </c>
      <c r="C3" s="8" t="s">
        <v>37</v>
      </c>
    </row>
    <row r="4" customFormat="false" ht="15" hidden="false" customHeight="false" outlineLevel="0" collapsed="false">
      <c r="A4" s="14" t="s">
        <v>38</v>
      </c>
      <c r="B4" s="13" t="n">
        <f aca="false">SUMPRODUCT((SUS!$B$6:$B$105="Admin Mitra")*ISNUMBER(SUS!$N$6:$N$105))</f>
        <v>0</v>
      </c>
      <c r="C4" s="13" t="n">
        <f aca="false">SUMPRODUCT((SUS!$B$6:$B$105="Calon Peserta")*ISNUMBER(SUS!$N$6:$N$105))</f>
        <v>0</v>
      </c>
    </row>
    <row r="5" customFormat="false" ht="15" hidden="false" customHeight="false" outlineLevel="0" collapsed="false">
      <c r="A5" s="14" t="s">
        <v>39</v>
      </c>
      <c r="B5" s="12" t="str">
        <f aca="false">IF(B$4=0,"-",AVERAGEIFS(SUS!$N$6:$N$105,SUS!$B$6:$B$105,"Admin Mitra"))</f>
        <v>-</v>
      </c>
      <c r="C5" s="12" t="str">
        <f aca="false">IF(C$4=0,"-",AVERAGEIFS(SUS!$N$6:$N$105,SUS!$B$6:$B$105,"Calon Peserta"))</f>
        <v>-</v>
      </c>
    </row>
    <row r="6" customFormat="false" ht="15" hidden="false" customHeight="false" outlineLevel="0" collapsed="false">
      <c r="A6" s="14" t="s">
        <v>40</v>
      </c>
      <c r="B6" s="12" t="str">
        <f aca="false">IF(B$4&lt;2,"-",SQRT(SUMPRODUCT((SUS!$B$6:$B$105="Admin Mitra")*ISNUMBER(SUS!$N$6:$N$105)*(SUS!$O$6:$O$105-B$5)^2)/(B$4-1)))</f>
        <v>-</v>
      </c>
      <c r="C6" s="12" t="str">
        <f aca="false">IF(C$4&lt;2,"-",SQRT(SUMPRODUCT((SUS!$B$6:$B$105="Calon Peserta")*ISNUMBER(SUS!$N$6:$N$105)*(SUS!$O$6:$O$105-C$5)^2)/(C$4-1)))</f>
        <v>-</v>
      </c>
    </row>
    <row r="7" customFormat="false" ht="15" hidden="false" customHeight="false" outlineLevel="0" collapsed="false">
      <c r="A7" s="14" t="s">
        <v>41</v>
      </c>
      <c r="B7" s="13" t="str">
        <f aca="false">IF(B$4=0,"-",_xlfn.MINIFS(SUS!$N$6:$N$105,SUS!$B$6:$B$105,"Admin Mitra"))</f>
        <v>-</v>
      </c>
      <c r="C7" s="13" t="str">
        <f aca="false">IF(C$4=0,"-",_xlfn.MINIFS(SUS!$N$6:$N$105,SUS!$B$6:$B$105,"Calon Peserta"))</f>
        <v>-</v>
      </c>
    </row>
    <row r="8" customFormat="false" ht="15" hidden="false" customHeight="false" outlineLevel="0" collapsed="false">
      <c r="A8" s="14" t="s">
        <v>42</v>
      </c>
      <c r="B8" s="13" t="str">
        <f aca="false">IF(B$4=0,"-",_xlfn.MAXIFS(SUS!$N$6:$N$105,SUS!$B$6:$B$105,"Admin Mitra"))</f>
        <v>-</v>
      </c>
      <c r="C8" s="13" t="str">
        <f aca="false">IF(C$4=0,"-",_xlfn.MAXIFS(SUS!$N$6:$N$105,SUS!$B$6:$B$105,"Calon Peserta"))</f>
        <v>-</v>
      </c>
    </row>
    <row r="9" customFormat="false" ht="15" hidden="false" customHeight="false" outlineLevel="0" collapsed="false">
      <c r="A9" s="14" t="s">
        <v>43</v>
      </c>
      <c r="B9" s="13" t="str">
        <f aca="false">IF(B$4=0,"-",IF(B$5&gt;=70,"Acceptable",IF(B$5&gt;=50,"Marginal","Not acceptable")))</f>
        <v>-</v>
      </c>
      <c r="C9" s="13" t="str">
        <f aca="false">IF(C$4=0,"-",IF(C$5&gt;=70,"Acceptable",IF(C$5&gt;=50,"Marginal","Not acceptable")))</f>
        <v>-</v>
      </c>
    </row>
    <row r="10" customFormat="false" ht="15" hidden="false" customHeight="false" outlineLevel="0" collapsed="false">
      <c r="A10" s="14" t="s">
        <v>44</v>
      </c>
      <c r="B10" s="13" t="str">
        <f aca="false">IF(B$4=0,"-",IF(B$5&gt;85,"Excellent – Best imaginable",IF(B$5&gt;=70,"Good – Excellent",IF(B$5&gt;=50,"OK – Good","Poor – Worst imaginable"))))</f>
        <v>-</v>
      </c>
      <c r="C10" s="13" t="str">
        <f aca="false">IF(C$4=0,"-",IF(C$5&gt;85,"Excellent – Best imaginable",IF(C$5&gt;=70,"Good – Excellent",IF(C$5&gt;=50,"OK – Good","Poor – Worst imaginable"))))</f>
        <v>-</v>
      </c>
    </row>
    <row r="11" customFormat="false" ht="15" hidden="false" customHeight="false" outlineLevel="0" collapsed="false">
      <c r="A11" s="14" t="s">
        <v>45</v>
      </c>
      <c r="B11" s="13" t="str">
        <f aca="false">IF(B$4=0,"-",IF(B$5&gt;=68,"Di atas rata-rata","Di bawah rata-rata"))</f>
        <v>-</v>
      </c>
      <c r="C11" s="13" t="str">
        <f aca="false">IF(C$4=0,"-",IF(C$5&gt;=68,"Di atas rata-rata","Di bawah rata-rata"))</f>
        <v>-</v>
      </c>
    </row>
    <row r="14" customFormat="false" ht="15" hidden="false" customHeight="false" outlineLevel="0" collapsed="false">
      <c r="A14" s="15" t="s">
        <v>46</v>
      </c>
    </row>
    <row r="15" customFormat="false" ht="15" hidden="false" customHeight="false" outlineLevel="0" collapsed="false">
      <c r="A15" s="8" t="s">
        <v>47</v>
      </c>
      <c r="B15" s="8" t="s">
        <v>36</v>
      </c>
      <c r="C15" s="8" t="s">
        <v>37</v>
      </c>
    </row>
    <row r="16" customFormat="false" ht="22.35" hidden="false" customHeight="false" outlineLevel="0" collapsed="false">
      <c r="A16" s="16" t="s">
        <v>48</v>
      </c>
      <c r="B16" s="17" t="str">
        <f aca="false">IF(B$4=0,"-",AVERAGEIFS(SUS!$D$6:$D$105,SUS!$B$6:$B$105,"Admin Mitra",SUS!$N$6:$N$105,"&gt;=0"))</f>
        <v>-</v>
      </c>
      <c r="C16" s="17" t="str">
        <f aca="false">IF(C$4=0,"-",AVERAGEIFS(SUS!$D$6:$D$105,SUS!$B$6:$B$105,"Calon Peserta",SUS!$N$6:$N$105,"&gt;=0"))</f>
        <v>-</v>
      </c>
    </row>
    <row r="17" customFormat="false" ht="22.35" hidden="false" customHeight="false" outlineLevel="0" collapsed="false">
      <c r="A17" s="16" t="s">
        <v>49</v>
      </c>
      <c r="B17" s="17" t="str">
        <f aca="false">IF(B$4=0,"-",AVERAGEIFS(SUS!$E$6:$E$105,SUS!$B$6:$B$105,"Admin Mitra",SUS!$N$6:$N$105,"&gt;=0"))</f>
        <v>-</v>
      </c>
      <c r="C17" s="17" t="str">
        <f aca="false">IF(C$4=0,"-",AVERAGEIFS(SUS!$E$6:$E$105,SUS!$B$6:$B$105,"Calon Peserta",SUS!$N$6:$N$105,"&gt;=0"))</f>
        <v>-</v>
      </c>
    </row>
    <row r="18" customFormat="false" ht="15" hidden="false" customHeight="false" outlineLevel="0" collapsed="false">
      <c r="A18" s="16" t="s">
        <v>50</v>
      </c>
      <c r="B18" s="17" t="str">
        <f aca="false">IF(B$4=0,"-",AVERAGEIFS(SUS!$F$6:$F$105,SUS!$B$6:$B$105,"Admin Mitra",SUS!$N$6:$N$105,"&gt;=0"))</f>
        <v>-</v>
      </c>
      <c r="C18" s="17" t="str">
        <f aca="false">IF(C$4=0,"-",AVERAGEIFS(SUS!$F$6:$F$105,SUS!$B$6:$B$105,"Calon Peserta",SUS!$N$6:$N$105,"&gt;=0"))</f>
        <v>-</v>
      </c>
    </row>
    <row r="19" customFormat="false" ht="32.8" hidden="false" customHeight="false" outlineLevel="0" collapsed="false">
      <c r="A19" s="16" t="s">
        <v>51</v>
      </c>
      <c r="B19" s="17" t="str">
        <f aca="false">IF(B$4=0,"-",AVERAGEIFS(SUS!$G$6:$G$105,SUS!$B$6:$B$105,"Admin Mitra",SUS!$N$6:$N$105,"&gt;=0"))</f>
        <v>-</v>
      </c>
      <c r="C19" s="17" t="str">
        <f aca="false">IF(C$4=0,"-",AVERAGEIFS(SUS!$G$6:$G$105,SUS!$B$6:$B$105,"Calon Peserta",SUS!$N$6:$N$105,"&gt;=0"))</f>
        <v>-</v>
      </c>
    </row>
    <row r="20" customFormat="false" ht="22.35" hidden="false" customHeight="false" outlineLevel="0" collapsed="false">
      <c r="A20" s="16" t="s">
        <v>52</v>
      </c>
      <c r="B20" s="17" t="str">
        <f aca="false">IF(B$4=0,"-",AVERAGEIFS(SUS!$H$6:$H$105,SUS!$B$6:$B$105,"Admin Mitra",SUS!$N$6:$N$105,"&gt;=0"))</f>
        <v>-</v>
      </c>
      <c r="C20" s="17" t="str">
        <f aca="false">IF(C$4=0,"-",AVERAGEIFS(SUS!$H$6:$H$105,SUS!$B$6:$B$105,"Calon Peserta",SUS!$N$6:$N$105,"&gt;=0"))</f>
        <v>-</v>
      </c>
    </row>
    <row r="21" customFormat="false" ht="22.35" hidden="false" customHeight="false" outlineLevel="0" collapsed="false">
      <c r="A21" s="16" t="s">
        <v>53</v>
      </c>
      <c r="B21" s="17" t="str">
        <f aca="false">IF(B$4=0,"-",AVERAGEIFS(SUS!$I$6:$I$105,SUS!$B$6:$B$105,"Admin Mitra",SUS!$N$6:$N$105,"&gt;=0"))</f>
        <v>-</v>
      </c>
      <c r="C21" s="17" t="str">
        <f aca="false">IF(C$4=0,"-",AVERAGEIFS(SUS!$I$6:$I$105,SUS!$B$6:$B$105,"Calon Peserta",SUS!$N$6:$N$105,"&gt;=0"))</f>
        <v>-</v>
      </c>
    </row>
    <row r="22" customFormat="false" ht="22.35" hidden="false" customHeight="false" outlineLevel="0" collapsed="false">
      <c r="A22" s="16" t="s">
        <v>54</v>
      </c>
      <c r="B22" s="17" t="str">
        <f aca="false">IF(B$4=0,"-",AVERAGEIFS(SUS!$J$6:$J$105,SUS!$B$6:$B$105,"Admin Mitra",SUS!$N$6:$N$105,"&gt;=0"))</f>
        <v>-</v>
      </c>
      <c r="C22" s="17" t="str">
        <f aca="false">IF(C$4=0,"-",AVERAGEIFS(SUS!$J$6:$J$105,SUS!$B$6:$B$105,"Calon Peserta",SUS!$N$6:$N$105,"&gt;=0"))</f>
        <v>-</v>
      </c>
    </row>
    <row r="23" customFormat="false" ht="15" hidden="false" customHeight="false" outlineLevel="0" collapsed="false">
      <c r="A23" s="16" t="s">
        <v>55</v>
      </c>
      <c r="B23" s="17" t="str">
        <f aca="false">IF(B$4=0,"-",AVERAGEIFS(SUS!$K$6:$K$105,SUS!$B$6:$B$105,"Admin Mitra",SUS!$N$6:$N$105,"&gt;=0"))</f>
        <v>-</v>
      </c>
      <c r="C23" s="17" t="str">
        <f aca="false">IF(C$4=0,"-",AVERAGEIFS(SUS!$K$6:$K$105,SUS!$B$6:$B$105,"Calon Peserta",SUS!$N$6:$N$105,"&gt;=0"))</f>
        <v>-</v>
      </c>
    </row>
    <row r="24" customFormat="false" ht="22.35" hidden="false" customHeight="false" outlineLevel="0" collapsed="false">
      <c r="A24" s="16" t="s">
        <v>56</v>
      </c>
      <c r="B24" s="17" t="str">
        <f aca="false">IF(B$4=0,"-",AVERAGEIFS(SUS!$L$6:$L$105,SUS!$B$6:$B$105,"Admin Mitra",SUS!$N$6:$N$105,"&gt;=0"))</f>
        <v>-</v>
      </c>
      <c r="C24" s="17" t="str">
        <f aca="false">IF(C$4=0,"-",AVERAGEIFS(SUS!$L$6:$L$105,SUS!$B$6:$B$105,"Calon Peserta",SUS!$N$6:$N$105,"&gt;=0"))</f>
        <v>-</v>
      </c>
    </row>
    <row r="25" customFormat="false" ht="22.35" hidden="false" customHeight="false" outlineLevel="0" collapsed="false">
      <c r="A25" s="16" t="s">
        <v>57</v>
      </c>
      <c r="B25" s="17" t="str">
        <f aca="false">IF(B$4=0,"-",AVERAGEIFS(SUS!$M$6:$M$105,SUS!$B$6:$B$105,"Admin Mitra",SUS!$N$6:$N$105,"&gt;=0"))</f>
        <v>-</v>
      </c>
      <c r="C25" s="17" t="str">
        <f aca="false">IF(C$4=0,"-",AVERAGEIFS(SUS!$M$6:$M$105,SUS!$B$6:$B$105,"Calon Peserta",SUS!$N$6:$N$105,"&gt;=0"))</f>
        <v>-</v>
      </c>
    </row>
    <row r="27" customFormat="false" ht="15" hidden="false" customHeight="false" outlineLevel="0" collapsed="false">
      <c r="A27" s="1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6" t="s">
        <v>59</v>
      </c>
    </row>
    <row r="3" customFormat="false" ht="15" hidden="false" customHeight="false" outlineLevel="0" collapsed="false">
      <c r="A3" s="8" t="s">
        <v>18</v>
      </c>
      <c r="B3" s="8" t="s">
        <v>60</v>
      </c>
      <c r="C3" s="8" t="s">
        <v>61</v>
      </c>
      <c r="D3" s="8" t="s">
        <v>62</v>
      </c>
      <c r="E3" s="8" t="s">
        <v>63</v>
      </c>
      <c r="F3" s="8" t="s">
        <v>64</v>
      </c>
    </row>
    <row r="4" customFormat="false" ht="15" hidden="false" customHeight="false" outlineLevel="0" collapsed="false">
      <c r="A4" s="19" t="s">
        <v>65</v>
      </c>
      <c r="B4" s="13" t="n">
        <f aca="false">COUNTIF($B$16:$B$50,A4)</f>
        <v>3</v>
      </c>
      <c r="C4" s="13" t="n">
        <f aca="false">COUNTIFS($B$16:$B$50,A4,$E$16:$E$50,"Sesuai")</f>
        <v>0</v>
      </c>
      <c r="D4" s="13" t="n">
        <f aca="false">COUNTIFS($B$16:$B$50,A4,$E$16:$E$50,"Tidak Sesuai")</f>
        <v>0</v>
      </c>
      <c r="E4" s="13" t="n">
        <f aca="false">B4-C4-D4</f>
        <v>3</v>
      </c>
      <c r="F4" s="20" t="n">
        <f aca="false">IF(B4=0,0,C4/B4)</f>
        <v>0</v>
      </c>
    </row>
    <row r="5" customFormat="false" ht="15" hidden="false" customHeight="false" outlineLevel="0" collapsed="false">
      <c r="A5" s="19" t="s">
        <v>66</v>
      </c>
      <c r="B5" s="13" t="n">
        <f aca="false">COUNTIF($B$16:$B$50,A5)</f>
        <v>3</v>
      </c>
      <c r="C5" s="13" t="n">
        <f aca="false">COUNTIFS($B$16:$B$50,A5,$E$16:$E$50,"Sesuai")</f>
        <v>0</v>
      </c>
      <c r="D5" s="13" t="n">
        <f aca="false">COUNTIFS($B$16:$B$50,A5,$E$16:$E$50,"Tidak Sesuai")</f>
        <v>0</v>
      </c>
      <c r="E5" s="13" t="n">
        <f aca="false">B5-C5-D5</f>
        <v>3</v>
      </c>
      <c r="F5" s="20" t="n">
        <f aca="false">IF(B5=0,0,C5/B5)</f>
        <v>0</v>
      </c>
    </row>
    <row r="6" customFormat="false" ht="15" hidden="false" customHeight="false" outlineLevel="0" collapsed="false">
      <c r="A6" s="19" t="s">
        <v>67</v>
      </c>
      <c r="B6" s="13" t="n">
        <f aca="false">COUNTIF($B$16:$B$50,A6)</f>
        <v>10</v>
      </c>
      <c r="C6" s="13" t="n">
        <f aca="false">COUNTIFS($B$16:$B$50,A6,$E$16:$E$50,"Sesuai")</f>
        <v>0</v>
      </c>
      <c r="D6" s="13" t="n">
        <f aca="false">COUNTIFS($B$16:$B$50,A6,$E$16:$E$50,"Tidak Sesuai")</f>
        <v>0</v>
      </c>
      <c r="E6" s="13" t="n">
        <f aca="false">B6-C6-D6</f>
        <v>10</v>
      </c>
      <c r="F6" s="20" t="n">
        <f aca="false">IF(B6=0,0,C6/B6)</f>
        <v>0</v>
      </c>
    </row>
    <row r="7" customFormat="false" ht="15" hidden="false" customHeight="false" outlineLevel="0" collapsed="false">
      <c r="A7" s="19" t="s">
        <v>68</v>
      </c>
      <c r="B7" s="13" t="n">
        <f aca="false">COUNTIF($B$16:$B$50,A7)</f>
        <v>3</v>
      </c>
      <c r="C7" s="13" t="n">
        <f aca="false">COUNTIFS($B$16:$B$50,A7,$E$16:$E$50,"Sesuai")</f>
        <v>0</v>
      </c>
      <c r="D7" s="13" t="n">
        <f aca="false">COUNTIFS($B$16:$B$50,A7,$E$16:$E$50,"Tidak Sesuai")</f>
        <v>0</v>
      </c>
      <c r="E7" s="13" t="n">
        <f aca="false">B7-C7-D7</f>
        <v>3</v>
      </c>
      <c r="F7" s="20" t="n">
        <f aca="false">IF(B7=0,0,C7/B7)</f>
        <v>0</v>
      </c>
    </row>
    <row r="8" customFormat="false" ht="23.85" hidden="false" customHeight="false" outlineLevel="0" collapsed="false">
      <c r="A8" s="19" t="s">
        <v>69</v>
      </c>
      <c r="B8" s="13" t="n">
        <f aca="false">COUNTIF($B$16:$B$50,A8)</f>
        <v>4</v>
      </c>
      <c r="C8" s="13" t="n">
        <f aca="false">COUNTIFS($B$16:$B$50,A8,$E$16:$E$50,"Sesuai")</f>
        <v>0</v>
      </c>
      <c r="D8" s="13" t="n">
        <f aca="false">COUNTIFS($B$16:$B$50,A8,$E$16:$E$50,"Tidak Sesuai")</f>
        <v>0</v>
      </c>
      <c r="E8" s="13" t="n">
        <f aca="false">B8-C8-D8</f>
        <v>4</v>
      </c>
      <c r="F8" s="20" t="n">
        <f aca="false">IF(B8=0,0,C8/B8)</f>
        <v>0</v>
      </c>
    </row>
    <row r="9" customFormat="false" ht="23.85" hidden="false" customHeight="false" outlineLevel="0" collapsed="false">
      <c r="A9" s="19" t="s">
        <v>70</v>
      </c>
      <c r="B9" s="13" t="n">
        <f aca="false">COUNTIF($B$16:$B$50,A9)</f>
        <v>9</v>
      </c>
      <c r="C9" s="13" t="n">
        <f aca="false">COUNTIFS($B$16:$B$50,A9,$E$16:$E$50,"Sesuai")</f>
        <v>0</v>
      </c>
      <c r="D9" s="13" t="n">
        <f aca="false">COUNTIFS($B$16:$B$50,A9,$E$16:$E$50,"Tidak Sesuai")</f>
        <v>0</v>
      </c>
      <c r="E9" s="13" t="n">
        <f aca="false">B9-C9-D9</f>
        <v>9</v>
      </c>
      <c r="F9" s="20" t="n">
        <f aca="false">IF(B9=0,0,C9/B9)</f>
        <v>0</v>
      </c>
    </row>
    <row r="10" customFormat="false" ht="15" hidden="false" customHeight="false" outlineLevel="0" collapsed="false">
      <c r="A10" s="19" t="s">
        <v>71</v>
      </c>
      <c r="B10" s="13" t="n">
        <f aca="false">COUNTIF($B$16:$B$50,A10)</f>
        <v>3</v>
      </c>
      <c r="C10" s="13" t="n">
        <f aca="false">COUNTIFS($B$16:$B$50,A10,$E$16:$E$50,"Sesuai")</f>
        <v>0</v>
      </c>
      <c r="D10" s="13" t="n">
        <f aca="false">COUNTIFS($B$16:$B$50,A10,$E$16:$E$50,"Tidak Sesuai")</f>
        <v>0</v>
      </c>
      <c r="E10" s="13" t="n">
        <f aca="false">B10-C10-D10</f>
        <v>3</v>
      </c>
      <c r="F10" s="20" t="n">
        <f aca="false">IF(B10=0,0,C10/B10)</f>
        <v>0</v>
      </c>
    </row>
    <row r="11" customFormat="false" ht="15" hidden="false" customHeight="false" outlineLevel="0" collapsed="false">
      <c r="A11" s="21" t="s">
        <v>72</v>
      </c>
      <c r="B11" s="21" t="n">
        <f aca="false">SUM(B4:B10)</f>
        <v>35</v>
      </c>
      <c r="C11" s="21" t="n">
        <f aca="false">SUM(C4:C10)</f>
        <v>0</v>
      </c>
      <c r="D11" s="21" t="n">
        <f aca="false">SUM(D4:D10)</f>
        <v>0</v>
      </c>
      <c r="E11" s="21" t="n">
        <f aca="false">SUM(E4:E10)</f>
        <v>35</v>
      </c>
      <c r="F11" s="22" t="n">
        <f aca="false">IF(B11=0,0,C11/B11)</f>
        <v>0</v>
      </c>
    </row>
    <row r="12" customFormat="false" ht="15" hidden="false" customHeight="false" outlineLevel="0" collapsed="false">
      <c r="A12" s="23" t="s">
        <v>73</v>
      </c>
      <c r="B12" s="23" t="n">
        <f aca="false">COUNTIFS($D$16:$D$50,"Ya",$E$16:$E$50,"Tidak Sesuai")</f>
        <v>0</v>
      </c>
    </row>
    <row r="13" customFormat="false" ht="15" hidden="false" customHeight="false" outlineLevel="0" collapsed="false">
      <c r="A13" s="15" t="s">
        <v>74</v>
      </c>
      <c r="B13" s="24" t="str">
        <f aca="false">IF(E11&gt;0,"Pengujian belum lengkap ("&amp;E11&amp;" skenario belum diuji)",IF(OR(F11&lt;0.9,B12&gt;0),"Belum diterima",IF(D11&gt;0,"Diterima dengan perbaikan","Diterima")))</f>
        <v>Pengujian belum lengkap (35 skenario belum diuji)</v>
      </c>
    </row>
    <row r="15" customFormat="false" ht="15" hidden="false" customHeight="false" outlineLevel="0" collapsed="false">
      <c r="A15" s="8" t="s">
        <v>75</v>
      </c>
      <c r="B15" s="8" t="s">
        <v>18</v>
      </c>
      <c r="C15" s="8" t="s">
        <v>76</v>
      </c>
      <c r="D15" s="8" t="s">
        <v>77</v>
      </c>
      <c r="E15" s="8" t="s">
        <v>78</v>
      </c>
      <c r="F15" s="8" t="s">
        <v>79</v>
      </c>
    </row>
    <row r="16" customFormat="false" ht="23.85" hidden="false" customHeight="false" outlineLevel="0" collapsed="false">
      <c r="A16" s="13" t="s">
        <v>80</v>
      </c>
      <c r="B16" s="19" t="s">
        <v>65</v>
      </c>
      <c r="C16" s="19" t="s">
        <v>81</v>
      </c>
      <c r="D16" s="13" t="s">
        <v>82</v>
      </c>
      <c r="E16" s="11"/>
      <c r="F16" s="25"/>
    </row>
    <row r="17" customFormat="false" ht="23.85" hidden="false" customHeight="false" outlineLevel="0" collapsed="false">
      <c r="A17" s="13" t="s">
        <v>83</v>
      </c>
      <c r="B17" s="19" t="s">
        <v>65</v>
      </c>
      <c r="C17" s="19" t="s">
        <v>84</v>
      </c>
      <c r="D17" s="13" t="s">
        <v>85</v>
      </c>
      <c r="E17" s="11"/>
      <c r="F17" s="25"/>
    </row>
    <row r="18" customFormat="false" ht="23.85" hidden="false" customHeight="false" outlineLevel="0" collapsed="false">
      <c r="A18" s="13" t="s">
        <v>86</v>
      </c>
      <c r="B18" s="19" t="s">
        <v>65</v>
      </c>
      <c r="C18" s="19" t="s">
        <v>87</v>
      </c>
      <c r="D18" s="13" t="s">
        <v>85</v>
      </c>
      <c r="E18" s="11"/>
      <c r="F18" s="25"/>
    </row>
    <row r="19" customFormat="false" ht="23.85" hidden="false" customHeight="false" outlineLevel="0" collapsed="false">
      <c r="A19" s="13" t="s">
        <v>88</v>
      </c>
      <c r="B19" s="19" t="s">
        <v>66</v>
      </c>
      <c r="C19" s="19" t="s">
        <v>89</v>
      </c>
      <c r="D19" s="13" t="s">
        <v>85</v>
      </c>
      <c r="E19" s="11"/>
      <c r="F19" s="25"/>
    </row>
    <row r="20" customFormat="false" ht="23.85" hidden="false" customHeight="false" outlineLevel="0" collapsed="false">
      <c r="A20" s="13" t="s">
        <v>90</v>
      </c>
      <c r="B20" s="19" t="s">
        <v>66</v>
      </c>
      <c r="C20" s="19" t="s">
        <v>91</v>
      </c>
      <c r="D20" s="13" t="s">
        <v>85</v>
      </c>
      <c r="E20" s="11"/>
      <c r="F20" s="25"/>
    </row>
    <row r="21" customFormat="false" ht="23.85" hidden="false" customHeight="false" outlineLevel="0" collapsed="false">
      <c r="A21" s="13" t="s">
        <v>92</v>
      </c>
      <c r="B21" s="19" t="s">
        <v>66</v>
      </c>
      <c r="C21" s="19" t="s">
        <v>93</v>
      </c>
      <c r="D21" s="13" t="s">
        <v>85</v>
      </c>
      <c r="E21" s="11"/>
      <c r="F21" s="25"/>
    </row>
    <row r="22" customFormat="false" ht="35.05" hidden="false" customHeight="false" outlineLevel="0" collapsed="false">
      <c r="A22" s="13" t="s">
        <v>94</v>
      </c>
      <c r="B22" s="19" t="s">
        <v>67</v>
      </c>
      <c r="C22" s="19" t="s">
        <v>95</v>
      </c>
      <c r="D22" s="13" t="s">
        <v>82</v>
      </c>
      <c r="E22" s="11"/>
      <c r="F22" s="25"/>
    </row>
    <row r="23" customFormat="false" ht="35.05" hidden="false" customHeight="false" outlineLevel="0" collapsed="false">
      <c r="A23" s="13" t="s">
        <v>96</v>
      </c>
      <c r="B23" s="19" t="s">
        <v>67</v>
      </c>
      <c r="C23" s="19" t="s">
        <v>97</v>
      </c>
      <c r="D23" s="13" t="s">
        <v>85</v>
      </c>
      <c r="E23" s="11"/>
      <c r="F23" s="25"/>
    </row>
    <row r="24" customFormat="false" ht="35.05" hidden="false" customHeight="false" outlineLevel="0" collapsed="false">
      <c r="A24" s="13" t="s">
        <v>98</v>
      </c>
      <c r="B24" s="19" t="s">
        <v>67</v>
      </c>
      <c r="C24" s="19" t="s">
        <v>99</v>
      </c>
      <c r="D24" s="13" t="s">
        <v>85</v>
      </c>
      <c r="E24" s="11"/>
      <c r="F24" s="25"/>
    </row>
    <row r="25" customFormat="false" ht="35.05" hidden="false" customHeight="false" outlineLevel="0" collapsed="false">
      <c r="A25" s="13" t="s">
        <v>100</v>
      </c>
      <c r="B25" s="19" t="s">
        <v>67</v>
      </c>
      <c r="C25" s="19" t="s">
        <v>101</v>
      </c>
      <c r="D25" s="13" t="s">
        <v>82</v>
      </c>
      <c r="E25" s="11"/>
      <c r="F25" s="25"/>
    </row>
    <row r="26" customFormat="false" ht="35.05" hidden="false" customHeight="false" outlineLevel="0" collapsed="false">
      <c r="A26" s="13" t="s">
        <v>102</v>
      </c>
      <c r="B26" s="19" t="s">
        <v>67</v>
      </c>
      <c r="C26" s="19" t="s">
        <v>103</v>
      </c>
      <c r="D26" s="13" t="s">
        <v>82</v>
      </c>
      <c r="E26" s="11"/>
      <c r="F26" s="25"/>
    </row>
    <row r="27" customFormat="false" ht="35.05" hidden="false" customHeight="false" outlineLevel="0" collapsed="false">
      <c r="A27" s="13" t="s">
        <v>104</v>
      </c>
      <c r="B27" s="19" t="s">
        <v>67</v>
      </c>
      <c r="C27" s="19" t="s">
        <v>105</v>
      </c>
      <c r="D27" s="13" t="s">
        <v>85</v>
      </c>
      <c r="E27" s="11"/>
      <c r="F27" s="25"/>
    </row>
    <row r="28" customFormat="false" ht="35.05" hidden="false" customHeight="false" outlineLevel="0" collapsed="false">
      <c r="A28" s="13" t="s">
        <v>106</v>
      </c>
      <c r="B28" s="19" t="s">
        <v>67</v>
      </c>
      <c r="C28" s="19" t="s">
        <v>107</v>
      </c>
      <c r="D28" s="13" t="s">
        <v>85</v>
      </c>
      <c r="E28" s="11"/>
      <c r="F28" s="25"/>
    </row>
    <row r="29" customFormat="false" ht="35.05" hidden="false" customHeight="false" outlineLevel="0" collapsed="false">
      <c r="A29" s="13" t="s">
        <v>108</v>
      </c>
      <c r="B29" s="19" t="s">
        <v>67</v>
      </c>
      <c r="C29" s="19" t="s">
        <v>109</v>
      </c>
      <c r="D29" s="13" t="s">
        <v>82</v>
      </c>
      <c r="E29" s="11"/>
      <c r="F29" s="25"/>
    </row>
    <row r="30" customFormat="false" ht="35.05" hidden="false" customHeight="false" outlineLevel="0" collapsed="false">
      <c r="A30" s="13" t="s">
        <v>110</v>
      </c>
      <c r="B30" s="19" t="s">
        <v>67</v>
      </c>
      <c r="C30" s="19" t="s">
        <v>111</v>
      </c>
      <c r="D30" s="13" t="s">
        <v>85</v>
      </c>
      <c r="E30" s="11"/>
      <c r="F30" s="25"/>
    </row>
    <row r="31" customFormat="false" ht="35.05" hidden="false" customHeight="false" outlineLevel="0" collapsed="false">
      <c r="A31" s="13" t="s">
        <v>112</v>
      </c>
      <c r="B31" s="19" t="s">
        <v>67</v>
      </c>
      <c r="C31" s="19" t="s">
        <v>113</v>
      </c>
      <c r="D31" s="13" t="s">
        <v>85</v>
      </c>
      <c r="E31" s="11"/>
      <c r="F31" s="25"/>
    </row>
    <row r="32" customFormat="false" ht="23.85" hidden="false" customHeight="false" outlineLevel="0" collapsed="false">
      <c r="A32" s="13" t="s">
        <v>114</v>
      </c>
      <c r="B32" s="19" t="s">
        <v>68</v>
      </c>
      <c r="C32" s="19" t="s">
        <v>115</v>
      </c>
      <c r="D32" s="13" t="s">
        <v>85</v>
      </c>
      <c r="E32" s="11"/>
      <c r="F32" s="25"/>
    </row>
    <row r="33" customFormat="false" ht="23.85" hidden="false" customHeight="false" outlineLevel="0" collapsed="false">
      <c r="A33" s="13" t="s">
        <v>116</v>
      </c>
      <c r="B33" s="19" t="s">
        <v>68</v>
      </c>
      <c r="C33" s="19" t="s">
        <v>117</v>
      </c>
      <c r="D33" s="13" t="s">
        <v>85</v>
      </c>
      <c r="E33" s="11"/>
      <c r="F33" s="25"/>
    </row>
    <row r="34" customFormat="false" ht="23.85" hidden="false" customHeight="false" outlineLevel="0" collapsed="false">
      <c r="A34" s="13" t="s">
        <v>118</v>
      </c>
      <c r="B34" s="19" t="s">
        <v>68</v>
      </c>
      <c r="C34" s="19" t="s">
        <v>119</v>
      </c>
      <c r="D34" s="13" t="s">
        <v>85</v>
      </c>
      <c r="E34" s="11"/>
      <c r="F34" s="25"/>
    </row>
    <row r="35" customFormat="false" ht="46.25" hidden="false" customHeight="false" outlineLevel="0" collapsed="false">
      <c r="A35" s="13" t="s">
        <v>120</v>
      </c>
      <c r="B35" s="19" t="s">
        <v>69</v>
      </c>
      <c r="C35" s="19" t="s">
        <v>121</v>
      </c>
      <c r="D35" s="13" t="s">
        <v>85</v>
      </c>
      <c r="E35" s="11"/>
      <c r="F35" s="25"/>
    </row>
    <row r="36" customFormat="false" ht="46.25" hidden="false" customHeight="false" outlineLevel="0" collapsed="false">
      <c r="A36" s="13" t="s">
        <v>122</v>
      </c>
      <c r="B36" s="19" t="s">
        <v>69</v>
      </c>
      <c r="C36" s="19" t="s">
        <v>123</v>
      </c>
      <c r="D36" s="13" t="s">
        <v>85</v>
      </c>
      <c r="E36" s="11"/>
      <c r="F36" s="25"/>
    </row>
    <row r="37" customFormat="false" ht="46.25" hidden="false" customHeight="false" outlineLevel="0" collapsed="false">
      <c r="A37" s="13" t="s">
        <v>124</v>
      </c>
      <c r="B37" s="19" t="s">
        <v>69</v>
      </c>
      <c r="C37" s="19" t="s">
        <v>125</v>
      </c>
      <c r="D37" s="13" t="s">
        <v>85</v>
      </c>
      <c r="E37" s="11"/>
      <c r="F37" s="25"/>
    </row>
    <row r="38" customFormat="false" ht="46.25" hidden="false" customHeight="false" outlineLevel="0" collapsed="false">
      <c r="A38" s="13" t="s">
        <v>126</v>
      </c>
      <c r="B38" s="19" t="s">
        <v>69</v>
      </c>
      <c r="C38" s="19" t="s">
        <v>127</v>
      </c>
      <c r="D38" s="13" t="s">
        <v>85</v>
      </c>
      <c r="E38" s="11"/>
      <c r="F38" s="25"/>
    </row>
    <row r="39" customFormat="false" ht="35.05" hidden="false" customHeight="false" outlineLevel="0" collapsed="false">
      <c r="A39" s="13" t="s">
        <v>128</v>
      </c>
      <c r="B39" s="19" t="s">
        <v>70</v>
      </c>
      <c r="C39" s="19" t="s">
        <v>129</v>
      </c>
      <c r="D39" s="13" t="s">
        <v>82</v>
      </c>
      <c r="E39" s="11"/>
      <c r="F39" s="25"/>
    </row>
    <row r="40" customFormat="false" ht="35.05" hidden="false" customHeight="false" outlineLevel="0" collapsed="false">
      <c r="A40" s="13" t="s">
        <v>130</v>
      </c>
      <c r="B40" s="19" t="s">
        <v>70</v>
      </c>
      <c r="C40" s="19" t="s">
        <v>131</v>
      </c>
      <c r="D40" s="13" t="s">
        <v>85</v>
      </c>
      <c r="E40" s="11"/>
      <c r="F40" s="25"/>
    </row>
    <row r="41" customFormat="false" ht="35.05" hidden="false" customHeight="false" outlineLevel="0" collapsed="false">
      <c r="A41" s="13" t="s">
        <v>132</v>
      </c>
      <c r="B41" s="19" t="s">
        <v>70</v>
      </c>
      <c r="C41" s="19" t="s">
        <v>133</v>
      </c>
      <c r="D41" s="13" t="s">
        <v>82</v>
      </c>
      <c r="E41" s="11"/>
      <c r="F41" s="25"/>
    </row>
    <row r="42" customFormat="false" ht="35.05" hidden="false" customHeight="false" outlineLevel="0" collapsed="false">
      <c r="A42" s="13" t="s">
        <v>134</v>
      </c>
      <c r="B42" s="19" t="s">
        <v>70</v>
      </c>
      <c r="C42" s="19" t="s">
        <v>135</v>
      </c>
      <c r="D42" s="13" t="s">
        <v>82</v>
      </c>
      <c r="E42" s="11"/>
      <c r="F42" s="25"/>
    </row>
    <row r="43" customFormat="false" ht="35.05" hidden="false" customHeight="false" outlineLevel="0" collapsed="false">
      <c r="A43" s="13" t="s">
        <v>136</v>
      </c>
      <c r="B43" s="19" t="s">
        <v>70</v>
      </c>
      <c r="C43" s="19" t="s">
        <v>137</v>
      </c>
      <c r="D43" s="13" t="s">
        <v>82</v>
      </c>
      <c r="E43" s="11"/>
      <c r="F43" s="25"/>
    </row>
    <row r="44" customFormat="false" ht="35.05" hidden="false" customHeight="false" outlineLevel="0" collapsed="false">
      <c r="A44" s="13" t="s">
        <v>138</v>
      </c>
      <c r="B44" s="19" t="s">
        <v>70</v>
      </c>
      <c r="C44" s="19" t="s">
        <v>139</v>
      </c>
      <c r="D44" s="13" t="s">
        <v>82</v>
      </c>
      <c r="E44" s="11"/>
      <c r="F44" s="25"/>
    </row>
    <row r="45" customFormat="false" ht="35.05" hidden="false" customHeight="false" outlineLevel="0" collapsed="false">
      <c r="A45" s="13" t="s">
        <v>140</v>
      </c>
      <c r="B45" s="19" t="s">
        <v>70</v>
      </c>
      <c r="C45" s="19" t="s">
        <v>141</v>
      </c>
      <c r="D45" s="13" t="s">
        <v>85</v>
      </c>
      <c r="E45" s="11"/>
      <c r="F45" s="25"/>
    </row>
    <row r="46" customFormat="false" ht="35.05" hidden="false" customHeight="false" outlineLevel="0" collapsed="false">
      <c r="A46" s="13" t="s">
        <v>142</v>
      </c>
      <c r="B46" s="19" t="s">
        <v>70</v>
      </c>
      <c r="C46" s="19" t="s">
        <v>143</v>
      </c>
      <c r="D46" s="13" t="s">
        <v>85</v>
      </c>
      <c r="E46" s="11"/>
      <c r="F46" s="25"/>
    </row>
    <row r="47" customFormat="false" ht="35.05" hidden="false" customHeight="false" outlineLevel="0" collapsed="false">
      <c r="A47" s="13" t="s">
        <v>144</v>
      </c>
      <c r="B47" s="19" t="s">
        <v>70</v>
      </c>
      <c r="C47" s="19" t="s">
        <v>145</v>
      </c>
      <c r="D47" s="13" t="s">
        <v>85</v>
      </c>
      <c r="E47" s="11"/>
      <c r="F47" s="25"/>
    </row>
    <row r="48" customFormat="false" ht="23.85" hidden="false" customHeight="false" outlineLevel="0" collapsed="false">
      <c r="A48" s="13" t="s">
        <v>146</v>
      </c>
      <c r="B48" s="19" t="s">
        <v>71</v>
      </c>
      <c r="C48" s="19" t="s">
        <v>147</v>
      </c>
      <c r="D48" s="13" t="s">
        <v>85</v>
      </c>
      <c r="E48" s="11"/>
      <c r="F48" s="25"/>
    </row>
    <row r="49" customFormat="false" ht="23.85" hidden="false" customHeight="false" outlineLevel="0" collapsed="false">
      <c r="A49" s="13" t="s">
        <v>148</v>
      </c>
      <c r="B49" s="19" t="s">
        <v>71</v>
      </c>
      <c r="C49" s="19" t="s">
        <v>149</v>
      </c>
      <c r="D49" s="13" t="s">
        <v>85</v>
      </c>
      <c r="E49" s="11"/>
      <c r="F49" s="25"/>
    </row>
    <row r="50" customFormat="false" ht="23.85" hidden="false" customHeight="false" outlineLevel="0" collapsed="false">
      <c r="A50" s="13" t="s">
        <v>150</v>
      </c>
      <c r="B50" s="19" t="s">
        <v>71</v>
      </c>
      <c r="C50" s="19" t="s">
        <v>151</v>
      </c>
      <c r="D50" s="13" t="s">
        <v>85</v>
      </c>
      <c r="E50" s="11"/>
      <c r="F50" s="25"/>
    </row>
  </sheetData>
  <conditionalFormatting sqref="E16:E50">
    <cfRule type="cellIs" priority="2" operator="equal" aboveAverage="0" equalAverage="0" bottom="0" percent="0" rank="0" text="" dxfId="0">
      <formula>"Sesuai"</formula>
    </cfRule>
    <cfRule type="cellIs" priority="3" operator="equal" aboveAverage="0" equalAverage="0" bottom="0" percent="0" rank="0" text="" dxfId="1">
      <formula>"Tidak Sesuai"</formula>
    </cfRule>
  </conditionalFormatting>
  <dataValidations count="1">
    <dataValidation allowBlank="true" errorStyle="stop" operator="between" showDropDown="false" showErrorMessage="false" showInputMessage="false" sqref="E16:E50" type="list">
      <formula1>"Sesuai,Tidak Sesuai"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2026-10-22T16:09:27Z</dcterms:created>
  <dc:creator>openpyxl</dc:creator>
  <dc:description/>
  <dc:language>en-US</dc:language>
  <cp:lastModifiedBy/>
  <dcterms:modified xsi:type="dcterms:W3CDTF">2026-10-22T16:09:28Z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